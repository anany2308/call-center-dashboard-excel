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hidePivotFieldList="1"/>
  <mc:AlternateContent xmlns:mc="http://schemas.openxmlformats.org/markup-compatibility/2006">
    <mc:Choice Requires="x15">
      <x15ac:absPath xmlns:x15ac="http://schemas.microsoft.com/office/spreadsheetml/2010/11/ac" url="C:\Users\dixit\OneDrive\Desktop\project\"/>
    </mc:Choice>
  </mc:AlternateContent>
  <xr:revisionPtr revIDLastSave="0" documentId="8_{60301A2E-FDBA-43EB-AB10-6B0232345763}" xr6:coauthVersionLast="47" xr6:coauthVersionMax="47" xr10:uidLastSave="{00000000-0000-0000-0000-000000000000}"/>
  <bookViews>
    <workbookView xWindow="-108" yWindow="-108" windowWidth="23256" windowHeight="12456" xr2:uid="{26D4546B-D2A1-4444-8EAF-A6228F96F0C1}"/>
  </bookViews>
  <sheets>
    <sheet name="dahsboard" sheetId="5" r:id="rId1"/>
    <sheet name="pivot_data" sheetId="6" r:id="rId2"/>
  </sheets>
  <definedNames>
    <definedName name="_xlcn.WorksheetConnection_07.sampledataexcelportfolioproject.xlsxcalls" hidden="1">calls</definedName>
    <definedName name="_xlcn.WorksheetConnection_07.sampledataexcelportfolioproject.xlsxcustomers" hidden="1">customers</definedName>
    <definedName name="_xlcn.WorksheetConnection_pivot_dataH73H79" hidden="1">pivot_data!$H$73:$H$79</definedName>
    <definedName name="Slicer_Representative">#N/A</definedName>
  </definedNames>
  <calcPr calcId="191029"/>
  <pivotCaches>
    <pivotCache cacheId="11" r:id="rId3"/>
    <pivotCache cacheId="12" r:id="rId4"/>
    <pivotCache cacheId="13" r:id="rId5"/>
    <pivotCache cacheId="14" r:id="rId6"/>
    <pivotCache cacheId="15" r:id="rId7"/>
    <pivotCache cacheId="354" r:id="rId8"/>
    <pivotCache cacheId="357" r:id="rId9"/>
    <pivotCache cacheId="360" r:id="rId10"/>
    <pivotCache cacheId="363" r:id="rId11"/>
    <pivotCache cacheId="366" r:id="rId12"/>
  </pivotCaches>
  <extLst>
    <ext xmlns:x14="http://schemas.microsoft.com/office/spreadsheetml/2009/9/main" uri="{876F7934-8845-4945-9796-88D515C7AA90}">
      <x14:pivotCaches>
        <pivotCache cacheId="21"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pivot_data!$H$73:$H$79"/>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 fromTable="calls" fromColumn="Rating rounded" toTable="Range" toColumn="Rating List"/>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5" i="5" l="1"/>
  <c r="P15" i="5"/>
  <c r="Q15" i="5"/>
  <c r="R15" i="5"/>
  <c r="O15" i="5"/>
  <c r="N16" i="5" a="1"/>
  <c r="N16" i="5" s="1"/>
  <c r="H43" i="6"/>
  <c r="H44" i="6"/>
  <c r="H45" i="6"/>
  <c r="H46" i="6"/>
  <c r="H42" i="6"/>
  <c r="G35" i="6"/>
  <c r="J43" i="6" s="1"/>
  <c r="J46" i="6" l="1"/>
  <c r="I44" i="6"/>
  <c r="I43" i="6"/>
  <c r="J42" i="6"/>
  <c r="J45" i="6"/>
  <c r="J44" i="6"/>
  <c r="I42" i="6"/>
  <c r="I46" i="6"/>
  <c r="I4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7837D6-7416-469E-9259-9AE34144BA1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B0BE503-E4CC-46FE-8EA7-33E8EC81FE0C}"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9C29E47B-DDE4-4476-A163-C499848B3F9E}"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 id="4" xr16:uid="{7442F469-BA3B-4F1F-BB81-5FF8B25C7C4B}" name="WorksheetConnection_pivot_data!$H$73:$H$79" type="102" refreshedVersion="8" minRefreshableVersion="5">
    <extLst>
      <ext xmlns:x15="http://schemas.microsoft.com/office/spreadsheetml/2010/11/main" uri="{DE250136-89BD-433C-8126-D09CA5730AF9}">
        <x15:connection id="Range" autoDelete="1">
          <x15:rangePr sourceName="_xlcn.WorksheetConnection_pivot_dataH73H79"/>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<sst xmlns="http://schemas.openxmlformats.org/spreadsheetml/2006/main" count="104" uniqueCount="64">
  <si>
    <t>C0008</t>
  </si>
  <si>
    <t>R03</t>
  </si>
  <si>
    <t>C0006</t>
  </si>
  <si>
    <t>C0011</t>
  </si>
  <si>
    <t>R02</t>
  </si>
  <si>
    <t>R05</t>
  </si>
  <si>
    <t>R01</t>
  </si>
  <si>
    <t>C0004</t>
  </si>
  <si>
    <t>R04</t>
  </si>
  <si>
    <t>C0013</t>
  </si>
  <si>
    <t>C0007</t>
  </si>
  <si>
    <t>C0012</t>
  </si>
  <si>
    <t>C0001</t>
  </si>
  <si>
    <t>C0010</t>
  </si>
  <si>
    <t>C0015</t>
  </si>
  <si>
    <t>C0003</t>
  </si>
  <si>
    <t>C0014</t>
  </si>
  <si>
    <t>C0009</t>
  </si>
  <si>
    <t>C0005</t>
  </si>
  <si>
    <t>C0002</t>
  </si>
  <si>
    <t>Male</t>
  </si>
  <si>
    <t>Female</t>
  </si>
  <si>
    <t>Columbus</t>
  </si>
  <si>
    <t>Cleveland</t>
  </si>
  <si>
    <t>Cincinnati</t>
  </si>
  <si>
    <t>Count Calls</t>
  </si>
  <si>
    <t>Total Amount</t>
  </si>
  <si>
    <t>Total Duration</t>
  </si>
  <si>
    <t>Avg Rating</t>
  </si>
  <si>
    <t>5* rating</t>
  </si>
  <si>
    <t>Row Labels</t>
  </si>
  <si>
    <t>Grand Total</t>
  </si>
  <si>
    <t>Jan</t>
  </si>
  <si>
    <t>Feb</t>
  </si>
  <si>
    <t>Mar</t>
  </si>
  <si>
    <t>Apr</t>
  </si>
  <si>
    <t>May</t>
  </si>
  <si>
    <t>Jun</t>
  </si>
  <si>
    <t>Jul</t>
  </si>
  <si>
    <t>Aug</t>
  </si>
  <si>
    <t>Sep</t>
  </si>
  <si>
    <t>Oct</t>
  </si>
  <si>
    <t>Nov</t>
  </si>
  <si>
    <t>Dec</t>
  </si>
  <si>
    <t>Count Calls2</t>
  </si>
  <si>
    <t>Sunday</t>
  </si>
  <si>
    <t>Monday</t>
  </si>
  <si>
    <t>Tuesday</t>
  </si>
  <si>
    <t>Wednesday</t>
  </si>
  <si>
    <t>Thursday</t>
  </si>
  <si>
    <t>Friday</t>
  </si>
  <si>
    <t>Saturday</t>
  </si>
  <si>
    <t>for graph</t>
  </si>
  <si>
    <t xml:space="preserve"> </t>
  </si>
  <si>
    <t>reprenstative:</t>
  </si>
  <si>
    <t>rep</t>
  </si>
  <si>
    <t>calls</t>
  </si>
  <si>
    <t>amount</t>
  </si>
  <si>
    <t>sel.calls</t>
  </si>
  <si>
    <t>sel.amount</t>
  </si>
  <si>
    <t>Column Labels</t>
  </si>
  <si>
    <t>Rating List</t>
  </si>
  <si>
    <t xml:space="preserve">      Total</t>
  </si>
  <si>
    <t>Call Center Report-2023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</si>
</sst>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quot;k&quot;"/>
    <numFmt numFmtId="165" formatCode="&quot;₹&quot;\ #,##0;#,##0\ \-&quot;₹&quot;;&quot;₹&quot;\ #,##0"/>
    <numFmt numFmtId="166" formatCode="&quot;₹&quot;\ #,##0"/>
    <numFmt numFmtId="167" formatCode="&quot;₹&quot;\ #,##0;#,##0\ \-&quot;₹&quot;;&quot;₹&quot;\ #,##0"/>
  </numFmts>
  <fonts count="8" x14ac:knownFonts="1">
    <font>
      <sz val="11"/>
      <color theme="1"/>
      <name val="Times New Roman"/>
      <family val="2"/>
      <scheme val="minor"/>
    </font>
    <font>
      <sz val="8"/>
      <name val="Times New Roman"/>
      <family val="2"/>
      <scheme val="minor"/>
    </font>
    <font>
      <sz val="11"/>
      <color theme="1"/>
      <name val="Aptos"/>
      <family val="2"/>
    </font>
    <font>
      <sz val="12"/>
      <color theme="1"/>
      <name val="Baskerville Old Face"/>
      <family val="1"/>
    </font>
    <font>
      <sz val="14"/>
      <color theme="1"/>
      <name val="Times New Roman"/>
      <family val="2"/>
      <scheme val="minor"/>
    </font>
    <font>
      <sz val="10"/>
      <color theme="1"/>
      <name val="Times New Roman"/>
      <family val="2"/>
      <scheme val="minor"/>
    </font>
    <font>
      <b/>
      <sz val="10"/>
      <color theme="1"/>
      <name val="Times New Roman"/>
      <family val="1"/>
      <scheme val="minor"/>
    </font>
    <font>
      <b/>
      <sz val="24"/>
      <color theme="1" tint="0.34998626667073579"/>
      <name val="Times New Roman"/>
      <family val="1"/>
      <scheme val="minor"/>
    </font>
  </fonts>
  <fills count="5">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s>
  <borders count="18">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s>
  <cellStyleXfs count="1">
    <xf numFmtId="0" fontId="0" fillId="0" borderId="0"/>
  </cellStyleXfs>
  <cellXfs count="35">
    <xf numFmtId="0" fontId="0" fillId="0" borderId="0" xfId="0"/>
    <xf numFmtId="0" fontId="0" fillId="2" borderId="0" xfId="0" applyFill="1"/>
    <xf numFmtId="3" fontId="0" fillId="0" borderId="0" xfId="0" applyNumberFormat="1"/>
    <xf numFmtId="2" fontId="0" fillId="0" borderId="0" xfId="0" applyNumberFormat="1"/>
    <xf numFmtId="0" fontId="0" fillId="0" borderId="0" xfId="0" pivotButton="1"/>
    <xf numFmtId="0" fontId="3" fillId="2" borderId="0" xfId="0" applyFont="1" applyFill="1"/>
    <xf numFmtId="0" fontId="4" fillId="2" borderId="0" xfId="0" applyFont="1" applyFill="1"/>
    <xf numFmtId="0" fontId="2" fillId="2" borderId="0" xfId="0" applyFont="1" applyFill="1"/>
    <xf numFmtId="0" fontId="0" fillId="0" borderId="0" xfId="0" applyAlignment="1">
      <alignment horizontal="left"/>
    </xf>
    <xf numFmtId="164" fontId="0" fillId="0" borderId="0" xfId="0" applyNumberForma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165" fontId="0" fillId="0" borderId="0" xfId="0" applyNumberFormat="1"/>
    <xf numFmtId="0" fontId="0" fillId="3" borderId="0" xfId="0" applyFill="1"/>
    <xf numFmtId="0" fontId="0" fillId="0" borderId="0" xfId="0" applyAlignment="1">
      <alignment horizontal="left" indent="1"/>
    </xf>
    <xf numFmtId="166" fontId="0" fillId="2" borderId="0" xfId="0" applyNumberFormat="1" applyFill="1"/>
    <xf numFmtId="166" fontId="5" fillId="4" borderId="4" xfId="0" applyNumberFormat="1" applyFont="1" applyFill="1" applyBorder="1"/>
    <xf numFmtId="166" fontId="5" fillId="4" borderId="0" xfId="0" applyNumberFormat="1" applyFont="1" applyFill="1"/>
    <xf numFmtId="166" fontId="5" fillId="4" borderId="16" xfId="0" applyNumberFormat="1" applyFont="1" applyFill="1" applyBorder="1"/>
    <xf numFmtId="166" fontId="5" fillId="4" borderId="15" xfId="0" applyNumberFormat="1" applyFont="1" applyFill="1" applyBorder="1" applyAlignment="1">
      <alignment horizontal="left" indent="1"/>
    </xf>
    <xf numFmtId="166" fontId="5" fillId="4" borderId="2" xfId="0" applyNumberFormat="1" applyFont="1" applyFill="1" applyBorder="1" applyAlignment="1">
      <alignment horizontal="left" indent="1"/>
    </xf>
    <xf numFmtId="166" fontId="5" fillId="4" borderId="17" xfId="0" applyNumberFormat="1" applyFont="1" applyFill="1" applyBorder="1"/>
    <xf numFmtId="166" fontId="5" fillId="4" borderId="1" xfId="0" applyNumberFormat="1" applyFont="1" applyFill="1" applyBorder="1"/>
    <xf numFmtId="166" fontId="6" fillId="4" borderId="14" xfId="0" applyNumberFormat="1" applyFont="1" applyFill="1" applyBorder="1" applyAlignment="1">
      <alignment horizontal="right"/>
    </xf>
    <xf numFmtId="166" fontId="6" fillId="4" borderId="3" xfId="0" applyNumberFormat="1" applyFont="1" applyFill="1" applyBorder="1" applyAlignment="1">
      <alignment horizontal="right"/>
    </xf>
    <xf numFmtId="166" fontId="6" fillId="4" borderId="15" xfId="0" applyNumberFormat="1" applyFont="1" applyFill="1" applyBorder="1" applyAlignment="1">
      <alignment horizontal="left"/>
    </xf>
    <xf numFmtId="0" fontId="7" fillId="2" borderId="0" xfId="0" applyFont="1" applyFill="1"/>
    <xf numFmtId="167" fontId="0" fillId="0" borderId="0" xfId="0" applyNumberFormat="1"/>
  </cellXfs>
  <cellStyles count="1">
    <cellStyle name="Normal" xfId="0" builtinId="0"/>
  </cellStyles>
  <dxfs count="3">
    <dxf>
      <fill>
        <patternFill>
          <bgColor rgb="FFF0AB4E"/>
        </patternFill>
      </fill>
      <border>
        <left style="thin">
          <color auto="1"/>
        </left>
        <right style="thin">
          <color auto="1"/>
        </right>
        <top/>
        <bottom/>
        <vertical/>
        <horizontal/>
      </border>
    </dxf>
    <dxf>
      <font>
        <b/>
        <color theme="1"/>
      </font>
      <border>
        <bottom style="thin">
          <color theme="5"/>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
    </tableStyle>
    <tableStyle name="SlicerStyleDark2 2" pivot="0" table="0" count="9" xr9:uid="{E2FA6B77-30CB-4715-83E7-00B4D8F9130D}">
      <tableStyleElement type="headerRow" dxfId="1"/>
    </tableStyle>
  </tableStyles>
  <colors>
    <mruColors>
      <color rgb="FFF0AB4E"/>
      <color rgb="FFF3C06D"/>
      <color rgb="FFEDA023"/>
      <color rgb="FFB4640C"/>
      <color rgb="FFFF2929"/>
      <color rgb="FFFDB1B1"/>
      <color rgb="FFFF5050"/>
      <color rgb="FFFFC5C5"/>
      <color rgb="FFFF9393"/>
      <color rgb="FFFF797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1"/>
          </font>
          <fill>
            <patternFill patternType="solid">
              <fgColor theme="5"/>
              <bgColor rgb="FFF3995B"/>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val="0"/>
            <i val="0"/>
            <color rgb="FF000000"/>
          </font>
          <fill>
            <patternFill patternType="solid">
              <fgColor rgb="FFC0C0C0"/>
              <bgColor rgb="FFE0E0E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openxmlformats.org/officeDocument/2006/relationships/sharedStrings" Target="sharedStrings.xml"/><Relationship Id="rId3" Type="http://schemas.openxmlformats.org/officeDocument/2006/relationships/pivotCacheDefinition" Target="pivotCache/pivotCacheDefinition1.xml"/><Relationship Id="rId21" Type="http://schemas.openxmlformats.org/officeDocument/2006/relationships/calcChain" Target="calcChain.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5" Type="http://schemas.openxmlformats.org/officeDocument/2006/relationships/pivotCacheDefinition" Target="pivotCache/pivotCacheDefinition3.xml"/><Relationship Id="rId15" Type="http://schemas.openxmlformats.org/officeDocument/2006/relationships/theme" Target="theme/theme1.xml"/><Relationship Id="rId10" Type="http://schemas.openxmlformats.org/officeDocument/2006/relationships/pivotCacheDefinition" Target="pivotCache/pivotCacheDefinition8.xml"/><Relationship Id="rId19" Type="http://schemas.openxmlformats.org/officeDocument/2006/relationships/sheetMetadata" Target="metadata.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[Dashboard.xlsx]pivot_data!week day trend</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E4B1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E4B18"/>
          </a:solidFill>
          <a:ln>
            <a:noFill/>
          </a:ln>
          <a:effectLst/>
        </c:spPr>
      </c:pivotFmt>
      <c:pivotFmt>
        <c:idx val="4"/>
        <c:spPr>
          <a:solidFill>
            <a:srgbClr val="BE4B18"/>
          </a:solidFill>
          <a:ln>
            <a:noFill/>
          </a:ln>
          <a:effectLst/>
        </c:spPr>
      </c:pivotFmt>
      <c:pivotFmt>
        <c:idx val="5"/>
        <c:spPr>
          <a:solidFill>
            <a:srgbClr val="BE4B18"/>
          </a:solidFill>
          <a:ln>
            <a:noFill/>
          </a:ln>
          <a:effectLst/>
        </c:spP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
      </c:pivotFmt>
      <c:pivotFmt>
        <c:idx val="6"/>
        <c:spPr>
          <a:solidFill>
            <a:srgbClr val="BE4B18"/>
          </a:solidFill>
          <a:ln>
            <a:noFill/>
          </a:ln>
          <a:effectLst/>
        </c:spPr>
      </c:pivotFmt>
      <c:pivotFmt>
        <c:idx val="7"/>
        <c:spPr>
          <a:solidFill>
            <a:srgbClr val="BE4B18"/>
          </a:solidFill>
          <a:ln>
            <a:noFill/>
          </a:ln>
          <a:effectLst/>
        </c:spPr>
      </c:pivotFmt>
      <c:pivotFmt>
        <c:idx val="8"/>
        <c:spPr>
          <a:solidFill>
            <a:srgbClr val="BE4B18"/>
          </a:solidFill>
          <a:ln>
            <a:noFill/>
          </a:ln>
          <a:effectLst/>
        </c:spPr>
      </c:pivotFmt>
      <c:pivotFmt>
        <c:idx val="9"/>
        <c:spPr>
          <a:solidFill>
            <a:srgbClr val="BE4B18"/>
          </a:solidFill>
          <a:ln>
            <a:noFill/>
          </a:ln>
          <a:effectLst/>
        </c:spPr>
      </c:pivotFmt>
    </c:pivotFmts>
    <c:plotArea>
      <c:layout/>
      <c:barChart>
        <c:barDir val="bar"/>
        <c:grouping val="stacked"/>
        <c:varyColors val="0"/>
        <c:ser>
          <c:idx val="0"/>
          <c:order val="0"/>
          <c:tx>
            <c:strRef>
              <c:f>pivot_data!$N$19</c:f>
              <c:strCache>
                <c:ptCount val="1"/>
                <c:pt idx="0">
                  <c:v>Total</c:v>
                </c:pt>
              </c:strCache>
            </c:strRef>
          </c:tx>
          <c:spPr>
            <a:solidFill>
              <a:srgbClr val="BE4B18"/>
            </a:solidFill>
            <a:ln>
              <a:noFill/>
            </a:ln>
            <a:effectLst/>
          </c:spPr>
          <c:invertIfNegative val="0"/>
          <c:dPt>
            <c:idx val="0"/>
            <c:invertIfNegative val="0"/>
            <c:bubble3D val="0"/>
            <c:extLst>
              <c:ext xmlns:c16="http://schemas.microsoft.com/office/drawing/2014/chart" uri="{C3380CC4-5D6E-409C-BE32-E72D297353CC}">
                <c16:uniqueId val="{00000001-CF09-4A50-A23A-49DEE56AFF53}"/>
              </c:ext>
            </c:extLst>
          </c:dPt>
          <c:dPt>
            <c:idx val="1"/>
            <c:invertIfNegative val="0"/>
            <c:bubble3D val="0"/>
            <c:extLst>
              <c:ext xmlns:c16="http://schemas.microsoft.com/office/drawing/2014/chart" uri="{C3380CC4-5D6E-409C-BE32-E72D297353CC}">
                <c16:uniqueId val="{00000002-CF09-4A50-A23A-49DEE56AFF53}"/>
              </c:ext>
            </c:extLst>
          </c:dPt>
          <c:dPt>
            <c:idx val="2"/>
            <c:invertIfNegative val="0"/>
            <c:bubble3D val="0"/>
            <c:extLst>
              <c:ext xmlns:c16="http://schemas.microsoft.com/office/drawing/2014/chart" uri="{C3380CC4-5D6E-409C-BE32-E72D297353CC}">
                <c16:uniqueId val="{00000003-CF09-4A50-A23A-49DEE56AFF53}"/>
              </c:ext>
            </c:extLst>
          </c:dPt>
          <c:dPt>
            <c:idx val="3"/>
            <c:invertIfNegative val="0"/>
            <c:bubble3D val="0"/>
            <c:extLst>
              <c:ext xmlns:c16="http://schemas.microsoft.com/office/drawing/2014/chart" uri="{C3380CC4-5D6E-409C-BE32-E72D297353CC}">
                <c16:uniqueId val="{00000004-CF09-4A50-A23A-49DEE56AFF53}"/>
              </c:ext>
            </c:extLst>
          </c:dPt>
          <c:dPt>
            <c:idx val="4"/>
            <c:invertIfNegative val="0"/>
            <c:bubble3D val="0"/>
            <c:extLst>
              <c:ext xmlns:c16="http://schemas.microsoft.com/office/drawing/2014/chart" uri="{C3380CC4-5D6E-409C-BE32-E72D297353CC}">
                <c16:uniqueId val="{00000005-CF09-4A50-A23A-49DEE56AFF53}"/>
              </c:ext>
            </c:extLst>
          </c:dPt>
          <c:dPt>
            <c:idx val="5"/>
            <c:invertIfNegative val="0"/>
            <c:bubble3D val="0"/>
            <c:extLst>
              <c:ext xmlns:c16="http://schemas.microsoft.com/office/drawing/2014/chart" uri="{C3380CC4-5D6E-409C-BE32-E72D297353CC}">
                <c16:uniqueId val="{00000006-CF09-4A50-A23A-49DEE56AFF53}"/>
              </c:ext>
            </c:extLst>
          </c:dPt>
          <c:dPt>
            <c:idx val="6"/>
            <c:invertIfNegative val="0"/>
            <c:bubble3D val="0"/>
            <c:extLst>
              <c:ext xmlns:c16="http://schemas.microsoft.com/office/drawing/2014/chart" uri="{C3380CC4-5D6E-409C-BE32-E72D297353CC}">
                <c16:uniqueId val="{00000007-CF09-4A50-A23A-49DEE56AFF53}"/>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pivot_data!$M$20:$M$27</c:f>
              <c:strCache>
                <c:ptCount val="7"/>
                <c:pt idx="0">
                  <c:v>Sunday</c:v>
                </c:pt>
                <c:pt idx="1">
                  <c:v>Monday</c:v>
                </c:pt>
                <c:pt idx="2">
                  <c:v>Tuesday</c:v>
                </c:pt>
                <c:pt idx="3">
                  <c:v>Wednesday</c:v>
                </c:pt>
                <c:pt idx="4">
                  <c:v>Thursday</c:v>
                </c:pt>
                <c:pt idx="5">
                  <c:v>Friday</c:v>
                </c:pt>
                <c:pt idx="6">
                  <c:v>Saturday</c:v>
                </c:pt>
              </c:strCache>
            </c:strRef>
          </c:cat>
          <c:val>
            <c:numRef>
              <c:f>pivot_data!$N$20:$N$27</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CF09-4A50-A23A-49DEE56AFF53}"/>
            </c:ext>
          </c:extLst>
        </c:ser>
        <c:dLbls>
          <c:dLblPos val="inEnd"/>
          <c:showLegendKey val="0"/>
          <c:showVal val="1"/>
          <c:showCatName val="0"/>
          <c:showSerName val="0"/>
          <c:showPercent val="0"/>
          <c:showBubbleSize val="0"/>
        </c:dLbls>
        <c:gapWidth val="25"/>
        <c:overlap val="100"/>
        <c:axId val="713473471"/>
        <c:axId val="713476351"/>
      </c:barChart>
      <c:catAx>
        <c:axId val="7134734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713476351"/>
        <c:crosses val="autoZero"/>
        <c:auto val="1"/>
        <c:lblAlgn val="ctr"/>
        <c:lblOffset val="100"/>
        <c:noMultiLvlLbl val="0"/>
      </c:catAx>
      <c:valAx>
        <c:axId val="713476351"/>
        <c:scaling>
          <c:orientation val="minMax"/>
        </c:scaling>
        <c:delete val="1"/>
        <c:axPos val="t"/>
        <c:numFmt formatCode="#,##0" sourceLinked="1"/>
        <c:majorTickMark val="out"/>
        <c:minorTickMark val="none"/>
        <c:tickLblPos val="nextTo"/>
        <c:crossAx val="71347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[Dashboard.xlsx]pivot_data!monthly trend</c:name>
    <c:fmtId val="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b="1">
                <a:solidFill>
                  <a:srgbClr val="BE4B18"/>
                </a:solidFill>
              </a:rPr>
              <a:t>Call</a:t>
            </a:r>
            <a:r>
              <a:rPr lang="en-IN" b="1" baseline="0">
                <a:solidFill>
                  <a:srgbClr val="BE4B18"/>
                </a:solidFill>
              </a:rPr>
              <a:t> Trend</a:t>
            </a:r>
            <a:endParaRPr lang="en-IN" b="1">
              <a:solidFill>
                <a:srgbClr val="BE4B18"/>
              </a:solidFill>
            </a:endParaRPr>
          </a:p>
        </c:rich>
      </c:tx>
      <c:layout>
        <c:manualLayout>
          <c:xMode val="edge"/>
          <c:yMode val="edge"/>
          <c:x val="2.3968503937007845E-2"/>
          <c:y val="4.1493775933609957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50000">
                <a:srgbClr val="D9845E">
                  <a:lumMod val="88000"/>
                </a:srgbClr>
              </a:gs>
              <a:gs pos="0">
                <a:srgbClr val="F3BCA3"/>
              </a:gs>
              <a:gs pos="100000">
                <a:srgbClr val="BE4B18"/>
              </a:gs>
            </a:gsLst>
            <a:lin ang="16200000" scaled="1"/>
            <a:tileRect/>
          </a:gradFill>
          <a:ln w="9525" cap="flat" cmpd="sng" algn="ctr">
            <a:solidFill>
              <a:srgbClr val="BE4B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BE4B18"/>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pivot_data!$C$17</c:f>
              <c:strCache>
                <c:ptCount val="1"/>
                <c:pt idx="0">
                  <c:v>Count Calls2</c:v>
                </c:pt>
              </c:strCache>
            </c:strRef>
          </c:tx>
          <c:spPr>
            <a:gradFill flip="none" rotWithShape="1">
              <a:gsLst>
                <a:gs pos="50000">
                  <a:srgbClr val="D9845E">
                    <a:lumMod val="88000"/>
                  </a:srgbClr>
                </a:gs>
                <a:gs pos="0">
                  <a:srgbClr val="F3BCA3"/>
                </a:gs>
                <a:gs pos="100000">
                  <a:srgbClr val="BE4B18"/>
                </a:gs>
              </a:gsLst>
              <a:lin ang="16200000" scaled="1"/>
              <a:tileRect/>
            </a:gradFill>
            <a:ln w="9525" cap="flat" cmpd="sng" algn="ctr">
              <a:solidFill>
                <a:srgbClr val="BE4B18"/>
              </a:solidFill>
              <a:round/>
            </a:ln>
            <a:effectLst/>
          </c:spPr>
          <c:cat>
            <c:strRef>
              <c:f>pivot_data!$A$18:$A$30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pivot_data!$C$18:$C$30</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BA03-40D0-9916-B2C1502DBE75}"/>
            </c:ext>
          </c:extLst>
        </c:ser>
        <c:dLbls>
          <c:showLegendKey val="0"/>
          <c:showVal val="0"/>
          <c:showCatName val="0"/>
          <c:showSerName val="0"/>
          <c:showPercent val="0"/>
          <c:showBubbleSize val="0"/>
        </c:dLbls>
        <c:axId val="737926255"/>
        <c:axId val="737927695"/>
      </c:areaChart>
      <c:lineChart>
        <c:grouping val="standard"/>
        <c:varyColors val="0"/>
        <c:ser>
          <c:idx val="0"/>
          <c:order val="0"/>
          <c:tx>
            <c:strRef>
              <c:f>pivot_data!$B$17</c:f>
              <c:strCache>
                <c:ptCount val="1"/>
                <c:pt idx="0">
                  <c:v>Count Calls</c:v>
                </c:pt>
              </c:strCache>
            </c:strRef>
          </c:tx>
          <c:spPr>
            <a:ln w="25400" cap="rnd">
              <a:solidFill>
                <a:srgbClr val="BE4B18"/>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cat>
            <c:strRef>
              <c:f>pivot_data!$A$18:$A$30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pivot_data!$B$18:$B$30</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BA03-40D0-9916-B2C1502DBE75}"/>
            </c:ext>
          </c:extLst>
        </c:ser>
        <c:dLbls>
          <c:showLegendKey val="0"/>
          <c:showVal val="0"/>
          <c:showCatName val="0"/>
          <c:showSerName val="0"/>
          <c:showPercent val="0"/>
          <c:showBubbleSize val="0"/>
        </c:dLbls>
        <c:marker val="1"/>
        <c:smooth val="0"/>
        <c:axId val="737926255"/>
        <c:axId val="737927695"/>
      </c:lineChart>
      <c:catAx>
        <c:axId val="737926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37927695"/>
        <c:crosses val="autoZero"/>
        <c:auto val="1"/>
        <c:lblAlgn val="ctr"/>
        <c:lblOffset val="100"/>
        <c:noMultiLvlLbl val="0"/>
      </c:catAx>
      <c:valAx>
        <c:axId val="737927695"/>
        <c:scaling>
          <c:orientation val="minMax"/>
        </c:scaling>
        <c:delete val="0"/>
        <c:axPos val="l"/>
        <c:majorGridlines>
          <c:spPr>
            <a:ln w="9525" cap="flat" cmpd="sng" algn="ctr">
              <a:no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3792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IN" sz="1400" b="1" i="0" u="none" strike="noStrike" kern="1200" spc="0" baseline="0">
                <a:solidFill>
                  <a:srgbClr val="CB5B0F"/>
                </a:solidFill>
                <a:latin typeface="+mn-lt"/>
                <a:ea typeface="+mn-ea"/>
                <a:cs typeface="+mn-cs"/>
              </a:defRPr>
            </a:pPr>
            <a:r>
              <a:rPr lang="en-IN" sz="1400" b="1" i="0" u="none" strike="noStrike" kern="1200" spc="0" baseline="0">
                <a:solidFill>
                  <a:srgbClr val="CB5B0F"/>
                </a:solidFill>
                <a:latin typeface="+mn-lt"/>
                <a:ea typeface="+mn-ea"/>
                <a:cs typeface="+mn-cs"/>
              </a:rPr>
              <a:t>Calls</a:t>
            </a:r>
          </a:p>
        </c:rich>
      </c:tx>
      <c:layout>
        <c:manualLayout>
          <c:xMode val="edge"/>
          <c:yMode val="edge"/>
          <c:x val="2.8796448032828378E-2"/>
          <c:y val="3.727369542066028E-2"/>
        </c:manualLayout>
      </c:layout>
      <c:overlay val="0"/>
      <c:spPr>
        <a:noFill/>
        <a:ln>
          <a:noFill/>
        </a:ln>
        <a:effectLst/>
      </c:spPr>
      <c:txPr>
        <a:bodyPr rot="0" spcFirstLastPara="1" vertOverflow="ellipsis" vert="horz" wrap="square" anchor="ctr" anchorCtr="1"/>
        <a:lstStyle/>
        <a:p>
          <a:pPr>
            <a:defRPr lang="en-IN" sz="1400" b="1" i="0" u="none" strike="noStrike" kern="1200" spc="0" baseline="0">
              <a:solidFill>
                <a:srgbClr val="CB5B0F"/>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pivot_data!$F$42:$F$46</c:f>
              <c:strCache>
                <c:ptCount val="5"/>
                <c:pt idx="0">
                  <c:v>R01</c:v>
                </c:pt>
                <c:pt idx="1">
                  <c:v>R02</c:v>
                </c:pt>
                <c:pt idx="2">
                  <c:v>R03</c:v>
                </c:pt>
                <c:pt idx="3">
                  <c:v>R04</c:v>
                </c:pt>
                <c:pt idx="4">
                  <c:v>R05</c:v>
                </c:pt>
              </c:strCache>
            </c:strRef>
          </c:cat>
          <c:val>
            <c:numRef>
              <c:f>pivot_data!$G$42:$G$46</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4F98-4A67-90D7-22A38960C901}"/>
            </c:ext>
          </c:extLst>
        </c:ser>
        <c:ser>
          <c:idx val="1"/>
          <c:order val="1"/>
          <c:tx>
            <c:strRef>
              <c:f>pivot_data!$I$41</c:f>
              <c:strCache>
                <c:ptCount val="1"/>
                <c:pt idx="0">
                  <c:v>sel.calls</c:v>
                </c:pt>
              </c:strCache>
            </c:strRef>
          </c:tx>
          <c:spPr>
            <a:gradFill>
              <a:gsLst>
                <a:gs pos="0">
                  <a:srgbClr val="FAE4DA"/>
                </a:gs>
                <a:gs pos="69000">
                  <a:srgbClr val="F3BCA3">
                    <a:lumMod val="88000"/>
                    <a:lumOff val="12000"/>
                  </a:srgbClr>
                </a:gs>
              </a:gsLst>
              <a:lin ang="10800000" scaled="1"/>
            </a:gradFill>
            <a:ln>
              <a:noFill/>
            </a:ln>
            <a:effectLst/>
          </c:spPr>
          <c:invertIfNegative val="0"/>
          <c:dPt>
            <c:idx val="2"/>
            <c:invertIfNegative val="0"/>
            <c:bubble3D val="0"/>
            <c:spPr>
              <a:gradFill flip="none" rotWithShape="1">
                <a:gsLst>
                  <a:gs pos="0">
                    <a:srgbClr val="FAE4DA"/>
                  </a:gs>
                  <a:gs pos="69000">
                    <a:srgbClr val="F3BCA3">
                      <a:lumMod val="88000"/>
                      <a:lumOff val="12000"/>
                    </a:srgbClr>
                  </a:gs>
                </a:gsLst>
                <a:lin ang="10800000" scaled="1"/>
                <a:tileRect/>
              </a:gradFill>
              <a:ln>
                <a:noFill/>
              </a:ln>
              <a:effectLst/>
            </c:spPr>
            <c:extLst>
              <c:ext xmlns:c16="http://schemas.microsoft.com/office/drawing/2014/chart" uri="{C3380CC4-5D6E-409C-BE32-E72D297353CC}">
                <c16:uniqueId val="{00000002-4F98-4A67-90D7-22A38960C901}"/>
              </c:ext>
            </c:extLst>
          </c:dPt>
          <c:dLbls>
            <c:delete val="1"/>
          </c:dLbls>
          <c:val>
            <c:numRef>
              <c:f>pivot_data!$I$42:$I$46</c:f>
              <c:numCache>
                <c:formatCode>General</c:formatCode>
                <c:ptCount val="5"/>
                <c:pt idx="0">
                  <c:v>0</c:v>
                </c:pt>
                <c:pt idx="1">
                  <c:v>0</c:v>
                </c:pt>
                <c:pt idx="2">
                  <c:v>0</c:v>
                </c:pt>
                <c:pt idx="3">
                  <c:v>0</c:v>
                </c:pt>
                <c:pt idx="4">
                  <c:v>200</c:v>
                </c:pt>
              </c:numCache>
            </c:numRef>
          </c:val>
          <c:extLst>
            <c:ext xmlns:c16="http://schemas.microsoft.com/office/drawing/2014/chart" uri="{C3380CC4-5D6E-409C-BE32-E72D297353CC}">
              <c16:uniqueId val="{00000003-4F98-4A67-90D7-22A38960C901}"/>
            </c:ext>
          </c:extLst>
        </c:ser>
        <c:dLbls>
          <c:dLblPos val="outEnd"/>
          <c:showLegendKey val="0"/>
          <c:showVal val="1"/>
          <c:showCatName val="0"/>
          <c:showSerName val="0"/>
          <c:showPercent val="0"/>
          <c:showBubbleSize val="0"/>
        </c:dLbls>
        <c:gapWidth val="25"/>
        <c:overlap val="100"/>
        <c:axId val="46924016"/>
        <c:axId val="46940816"/>
      </c:barChart>
      <c:catAx>
        <c:axId val="469240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40816"/>
        <c:crosses val="autoZero"/>
        <c:auto val="1"/>
        <c:lblAlgn val="ctr"/>
        <c:lblOffset val="100"/>
        <c:noMultiLvlLbl val="0"/>
      </c:catAx>
      <c:valAx>
        <c:axId val="46940816"/>
        <c:scaling>
          <c:orientation val="minMax"/>
          <c:min val="0"/>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240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CB5B0F"/>
                </a:solidFill>
              </a:rPr>
              <a:t>Amount</a:t>
            </a:r>
          </a:p>
        </c:rich>
      </c:tx>
      <c:layout>
        <c:manualLayout>
          <c:xMode val="edge"/>
          <c:yMode val="edge"/>
          <c:x val="3.3398606587789099E-2"/>
          <c:y val="4.15368639667705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pivot_data!$F$42:$F$46</c:f>
              <c:strCache>
                <c:ptCount val="5"/>
                <c:pt idx="0">
                  <c:v>R01</c:v>
                </c:pt>
                <c:pt idx="1">
                  <c:v>R02</c:v>
                </c:pt>
                <c:pt idx="2">
                  <c:v>R03</c:v>
                </c:pt>
                <c:pt idx="3">
                  <c:v>R04</c:v>
                </c:pt>
                <c:pt idx="4">
                  <c:v>R05</c:v>
                </c:pt>
              </c:strCache>
            </c:strRef>
          </c:cat>
          <c:val>
            <c:numRef>
              <c:f>pivot_data!$H$42:$H$46</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29B-43CF-BBB3-A30B80622BD7}"/>
            </c:ext>
          </c:extLst>
        </c:ser>
        <c:ser>
          <c:idx val="1"/>
          <c:order val="1"/>
          <c:tx>
            <c:strRef>
              <c:f>pivot_data!$J$41</c:f>
              <c:strCache>
                <c:ptCount val="1"/>
                <c:pt idx="0">
                  <c:v>sel.amount</c:v>
                </c:pt>
              </c:strCache>
            </c:strRef>
          </c:tx>
          <c:spPr>
            <a:gradFill flip="none" rotWithShape="1">
              <a:gsLst>
                <a:gs pos="0">
                  <a:srgbClr val="FAE4DA"/>
                </a:gs>
                <a:gs pos="69000">
                  <a:srgbClr val="F3BCA3">
                    <a:lumMod val="88000"/>
                    <a:lumOff val="12000"/>
                  </a:srgbClr>
                </a:gs>
              </a:gsLst>
              <a:lin ang="10800000" scaled="1"/>
              <a:tileRect/>
            </a:gradFill>
            <a:ln>
              <a:noFill/>
            </a:ln>
            <a:effectLst/>
          </c:spPr>
          <c:invertIfNegative val="0"/>
          <c:dPt>
            <c:idx val="1"/>
            <c:invertIfNegative val="0"/>
            <c:bubble3D val="0"/>
            <c:spPr>
              <a:gradFill flip="none" rotWithShape="1">
                <a:gsLst>
                  <a:gs pos="0">
                    <a:srgbClr val="FAE4DA"/>
                  </a:gs>
                  <a:gs pos="69000">
                    <a:srgbClr val="F3BCA3">
                      <a:lumMod val="88000"/>
                      <a:lumOff val="12000"/>
                    </a:srgbClr>
                  </a:gs>
                </a:gsLst>
                <a:lin ang="10800000" scaled="1"/>
                <a:tileRect/>
              </a:gradFill>
              <a:ln>
                <a:noFill/>
              </a:ln>
              <a:effectLst/>
            </c:spPr>
            <c:extLst>
              <c:ext xmlns:c16="http://schemas.microsoft.com/office/drawing/2014/chart" uri="{C3380CC4-5D6E-409C-BE32-E72D297353CC}">
                <c16:uniqueId val="{00000002-229B-43CF-BBB3-A30B80622BD7}"/>
              </c:ext>
            </c:extLst>
          </c:dPt>
          <c:dLbls>
            <c:delete val="1"/>
          </c:dLbls>
          <c:val>
            <c:numRef>
              <c:f>pivot_data!$J$42:$J$46</c:f>
              <c:numCache>
                <c:formatCode>"₹"\ #,###.0,"k"</c:formatCode>
                <c:ptCount val="5"/>
                <c:pt idx="0">
                  <c:v>0</c:v>
                </c:pt>
                <c:pt idx="1">
                  <c:v>0</c:v>
                </c:pt>
                <c:pt idx="2">
                  <c:v>0</c:v>
                </c:pt>
                <c:pt idx="3">
                  <c:v>0</c:v>
                </c:pt>
                <c:pt idx="4">
                  <c:v>20104</c:v>
                </c:pt>
              </c:numCache>
            </c:numRef>
          </c:val>
          <c:extLst>
            <c:ext xmlns:c16="http://schemas.microsoft.com/office/drawing/2014/chart" uri="{C3380CC4-5D6E-409C-BE32-E72D297353CC}">
              <c16:uniqueId val="{00000003-229B-43CF-BBB3-A30B80622BD7}"/>
            </c:ext>
          </c:extLst>
        </c:ser>
        <c:dLbls>
          <c:dLblPos val="outEnd"/>
          <c:showLegendKey val="0"/>
          <c:showVal val="1"/>
          <c:showCatName val="0"/>
          <c:showSerName val="0"/>
          <c:showPercent val="0"/>
          <c:showBubbleSize val="0"/>
        </c:dLbls>
        <c:gapWidth val="25"/>
        <c:overlap val="100"/>
        <c:axId val="46924016"/>
        <c:axId val="46940816"/>
      </c:barChart>
      <c:catAx>
        <c:axId val="469240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40816"/>
        <c:crosses val="autoZero"/>
        <c:auto val="1"/>
        <c:lblAlgn val="ctr"/>
        <c:lblOffset val="100"/>
        <c:noMultiLvlLbl val="0"/>
      </c:catAx>
      <c:valAx>
        <c:axId val="46940816"/>
        <c:scaling>
          <c:orientation val="minMax"/>
          <c:min val="0"/>
        </c:scaling>
        <c:delete val="0"/>
        <c:axPos val="t"/>
        <c:majorGridlines>
          <c:spPr>
            <a:ln w="9525" cap="flat" cmpd="sng" algn="ctr">
              <a:solidFill>
                <a:schemeClr val="tx1">
                  <a:lumMod val="15000"/>
                  <a:lumOff val="85000"/>
                </a:schemeClr>
              </a:solidFill>
              <a:round/>
            </a:ln>
            <a:effectLst/>
          </c:spPr>
        </c:majorGridlines>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240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[Dashboard.xlsx]pivot_data!PivotTable4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3995B"/>
                </a:solidFill>
              </a:rPr>
              <a:t>Female</a:t>
            </a:r>
            <a:r>
              <a:rPr lang="en-IN" baseline="0"/>
              <a:t> vs </a:t>
            </a:r>
            <a:r>
              <a:rPr lang="en-IN" b="1" baseline="0">
                <a:solidFill>
                  <a:srgbClr val="00B0F0"/>
                </a:solidFill>
              </a:rPr>
              <a:t>Male</a:t>
            </a:r>
            <a:r>
              <a:rPr lang="en-IN" baseline="0"/>
              <a:t> Callers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3995B"/>
          </a:solidFill>
          <a:ln>
            <a:noFill/>
          </a:ln>
          <a:effectLst/>
        </c:spPr>
        <c:marker>
          <c:symbol val="none"/>
        </c:marker>
      </c:pivotFmt>
      <c:pivotFmt>
        <c:idx val="1"/>
        <c:spPr>
          <a:solidFill>
            <a:srgbClr val="CB5B0F"/>
          </a:solidFill>
          <a:ln>
            <a:noFill/>
          </a:ln>
          <a:effectLst/>
        </c:spPr>
        <c:marker>
          <c:symbol val="none"/>
        </c:marker>
      </c:pivotFmt>
      <c:pivotFmt>
        <c:idx val="2"/>
        <c:spPr>
          <a:solidFill>
            <a:srgbClr val="CB5B0F"/>
          </a:solidFill>
          <a:ln>
            <a:noFill/>
          </a:ln>
          <a:effectLst/>
        </c:spPr>
      </c:pivotFmt>
      <c:pivotFmt>
        <c:idx val="3"/>
        <c:spPr>
          <a:solidFill>
            <a:srgbClr val="F39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B5B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9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pivot_data!$B$63:$B$64</c:f>
              <c:strCache>
                <c:ptCount val="1"/>
                <c:pt idx="0">
                  <c:v>Female</c:v>
                </c:pt>
              </c:strCache>
            </c:strRef>
          </c:tx>
          <c:spPr>
            <a:solidFill>
              <a:srgbClr val="F3995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pivot_data!$A$65:$A$68</c:f>
              <c:strCache>
                <c:ptCount val="3"/>
                <c:pt idx="0">
                  <c:v>Cincinnati</c:v>
                </c:pt>
                <c:pt idx="1">
                  <c:v>Cleveland</c:v>
                </c:pt>
                <c:pt idx="2">
                  <c:v>Columbus</c:v>
                </c:pt>
              </c:strCache>
            </c:strRef>
          </c:cat>
          <c:val>
            <c:numRef>
              <c:f>pivot_data!$B$65:$B$68</c:f>
              <c:numCache>
                <c:formatCode>#,##0</c:formatCode>
                <c:ptCount val="3"/>
                <c:pt idx="0">
                  <c:v>144</c:v>
                </c:pt>
                <c:pt idx="1">
                  <c:v>326</c:v>
                </c:pt>
                <c:pt idx="2">
                  <c:v>129</c:v>
                </c:pt>
              </c:numCache>
            </c:numRef>
          </c:val>
          <c:extLst>
            <c:ext xmlns:c16="http://schemas.microsoft.com/office/drawing/2014/chart" uri="{C3380CC4-5D6E-409C-BE32-E72D297353CC}">
              <c16:uniqueId val="{00000000-F2C7-4276-BA6C-DC83CCF55B3C}"/>
            </c:ext>
          </c:extLst>
        </c:ser>
        <c:ser>
          <c:idx val="1"/>
          <c:order val="1"/>
          <c:tx>
            <c:strRef>
              <c:f>pivot_data!$C$63:$C$64</c:f>
              <c:strCache>
                <c:ptCount val="1"/>
                <c:pt idx="0">
                  <c:v>Male</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pivot_data!$A$65:$A$68</c:f>
              <c:strCache>
                <c:ptCount val="3"/>
                <c:pt idx="0">
                  <c:v>Cincinnati</c:v>
                </c:pt>
                <c:pt idx="1">
                  <c:v>Cleveland</c:v>
                </c:pt>
                <c:pt idx="2">
                  <c:v>Columbus</c:v>
                </c:pt>
              </c:strCache>
            </c:strRef>
          </c:cat>
          <c:val>
            <c:numRef>
              <c:f>pivot_data!$C$65:$C$68</c:f>
              <c:numCache>
                <c:formatCode>#,##0</c:formatCode>
                <c:ptCount val="3"/>
                <c:pt idx="0">
                  <c:v>132</c:v>
                </c:pt>
                <c:pt idx="1">
                  <c:v>63</c:v>
                </c:pt>
                <c:pt idx="2">
                  <c:v>206</c:v>
                </c:pt>
              </c:numCache>
            </c:numRef>
          </c:val>
          <c:extLst>
            <c:ext xmlns:c16="http://schemas.microsoft.com/office/drawing/2014/chart" uri="{C3380CC4-5D6E-409C-BE32-E72D297353CC}">
              <c16:uniqueId val="{00000001-F2C7-4276-BA6C-DC83CCF55B3C}"/>
            </c:ext>
          </c:extLst>
        </c:ser>
        <c:dLbls>
          <c:dLblPos val="ctr"/>
          <c:showLegendKey val="0"/>
          <c:showVal val="1"/>
          <c:showCatName val="0"/>
          <c:showSerName val="0"/>
          <c:showPercent val="0"/>
          <c:showBubbleSize val="0"/>
        </c:dLbls>
        <c:gapWidth val="25"/>
        <c:overlap val="100"/>
        <c:axId val="1523587120"/>
        <c:axId val="1357840"/>
      </c:barChart>
      <c:catAx>
        <c:axId val="1523587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840"/>
        <c:crosses val="autoZero"/>
        <c:auto val="1"/>
        <c:lblAlgn val="ctr"/>
        <c:lblOffset val="100"/>
        <c:noMultiLvlLbl val="0"/>
      </c:catAx>
      <c:valAx>
        <c:axId val="1357840"/>
        <c:scaling>
          <c:orientation val="minMax"/>
        </c:scaling>
        <c:delete val="1"/>
        <c:axPos val="l"/>
        <c:numFmt formatCode="0%" sourceLinked="1"/>
        <c:majorTickMark val="out"/>
        <c:minorTickMark val="none"/>
        <c:tickLblPos val="nextTo"/>
        <c:crossAx val="152358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[Dashboard.xlsx]pivot_data!rep rating</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pivot_data!$B$73</c:f>
              <c:strCache>
                <c:ptCount val="1"/>
                <c:pt idx="0">
                  <c:v>Total</c:v>
                </c:pt>
              </c:strCache>
            </c:strRef>
          </c:tx>
          <c:spPr>
            <a:solidFill>
              <a:schemeClr val="accent1"/>
            </a:solidFill>
            <a:ln>
              <a:noFill/>
            </a:ln>
            <a:effectLst/>
          </c:spPr>
          <c:invertIfNegative val="0"/>
          <c:cat>
            <c:strRef>
              <c:f>pivot_data!$A$74:$A$80</c:f>
              <c:strCache>
                <c:ptCount val="6"/>
                <c:pt idx="0">
                  <c:v>0</c:v>
                </c:pt>
                <c:pt idx="1">
                  <c:v>1</c:v>
                </c:pt>
                <c:pt idx="2">
                  <c:v>2</c:v>
                </c:pt>
                <c:pt idx="3">
                  <c:v>3</c:v>
                </c:pt>
                <c:pt idx="4">
                  <c:v>4</c:v>
                </c:pt>
                <c:pt idx="5">
                  <c:v>5</c:v>
                </c:pt>
              </c:strCache>
            </c:strRef>
          </c:cat>
          <c:val>
            <c:numRef>
              <c:f>pivot_data!$B$74:$B$80</c:f>
              <c:numCache>
                <c:formatCode>#,##0</c:formatCode>
                <c:ptCount val="6"/>
                <c:pt idx="2">
                  <c:v>10</c:v>
                </c:pt>
                <c:pt idx="3">
                  <c:v>44</c:v>
                </c:pt>
                <c:pt idx="4">
                  <c:v>95</c:v>
                </c:pt>
                <c:pt idx="5">
                  <c:v>51</c:v>
                </c:pt>
              </c:numCache>
            </c:numRef>
          </c:val>
          <c:extLst>
            <c:ext xmlns:c16="http://schemas.microsoft.com/office/drawing/2014/chart" uri="{C3380CC4-5D6E-409C-BE32-E72D297353CC}">
              <c16:uniqueId val="{00000000-A1B7-4BDC-AFB0-8075432623FE}"/>
            </c:ext>
          </c:extLst>
        </c:ser>
        <c:dLbls>
          <c:showLegendKey val="0"/>
          <c:showVal val="0"/>
          <c:showCatName val="0"/>
          <c:showSerName val="0"/>
          <c:showPercent val="0"/>
          <c:showBubbleSize val="0"/>
        </c:dLbls>
        <c:gapWidth val="10"/>
        <c:overlap val="-27"/>
        <c:axId val="607761951"/>
        <c:axId val="607770111"/>
      </c:barChart>
      <c:catAx>
        <c:axId val="60776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770111"/>
        <c:crosses val="autoZero"/>
        <c:auto val="1"/>
        <c:lblAlgn val="ctr"/>
        <c:lblOffset val="100"/>
        <c:tickMarkSkip val="1"/>
        <c:noMultiLvlLbl val="0"/>
      </c:catAx>
      <c:valAx>
        <c:axId val="6077701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76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chart" Target="../charts/chart3.xml"/><Relationship Id="rId5" Type="http://schemas.openxmlformats.org/officeDocument/2006/relationships/image" Target="../media/image4.svg"/><Relationship Id="rId10" Type="http://schemas.openxmlformats.org/officeDocument/2006/relationships/chart" Target="../charts/chart2.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471446</xdr:colOff>
      <xdr:row>4</xdr:row>
      <xdr:rowOff>127552</xdr:rowOff>
    </xdr:from>
    <xdr:to>
      <xdr:col>12</xdr:col>
      <xdr:colOff>82826</xdr:colOff>
      <xdr:row>13</xdr:row>
      <xdr:rowOff>43732</xdr:rowOff>
    </xdr:to>
    <xdr:graphicFrame macro="">
      <xdr:nvGraphicFramePr>
        <xdr:cNvPr id="139" name="Chart 138">
          <a:extLst>
            <a:ext uri="{FF2B5EF4-FFF2-40B4-BE49-F238E27FC236}">
              <a16:creationId xmlns:a16="http://schemas.microsoft.com/office/drawing/2014/main" id="{B6C688FF-89BB-447A-9FEE-A09721F27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113637</xdr:colOff>
      <xdr:row>3</xdr:row>
      <xdr:rowOff>149086</xdr:rowOff>
    </xdr:from>
    <xdr:to>
      <xdr:col>3</xdr:col>
      <xdr:colOff>349526</xdr:colOff>
      <xdr:row>32</xdr:row>
      <xdr:rowOff>125506</xdr:rowOff>
    </xdr:to>
    <xdr:grpSp>
      <xdr:nvGrpSpPr>
        <xdr:cNvPr id="10" name="Group 9">
          <a:extLst>
            <a:ext uri="{FF2B5EF4-FFF2-40B4-BE49-F238E27FC236}">
              <a16:creationId xmlns:a16="http://schemas.microsoft.com/office/drawing/2014/main" id="{42AC56A9-20C2-B52D-CE1A-856DBAED981D}"/>
            </a:ext>
          </a:extLst>
        </xdr:cNvPr>
        <xdr:cNvGrpSpPr/>
      </xdr:nvGrpSpPr>
      <xdr:grpSpPr>
        <a:xfrm>
          <a:off x="113637" y="633180"/>
          <a:ext cx="1401301" cy="5247667"/>
          <a:chOff x="113637" y="633181"/>
          <a:chExt cx="1401301" cy="4522572"/>
        </a:xfrm>
      </xdr:grpSpPr>
      <xdr:sp macro="" textlink="pivot_data!E4">
        <xdr:nvSpPr>
          <xdr:cNvPr id="128" name="Rectangle 127">
            <a:extLst>
              <a:ext uri="{FF2B5EF4-FFF2-40B4-BE49-F238E27FC236}">
                <a16:creationId xmlns:a16="http://schemas.microsoft.com/office/drawing/2014/main" id="{8264AC65-B303-4C2F-933F-6A7DAED9C30E}"/>
              </a:ext>
            </a:extLst>
          </xdr:cNvPr>
          <xdr:cNvSpPr/>
        </xdr:nvSpPr>
        <xdr:spPr>
          <a:xfrm>
            <a:off x="216614" y="4290780"/>
            <a:ext cx="1249291" cy="864973"/>
          </a:xfrm>
          <a:prstGeom prst="rect">
            <a:avLst/>
          </a:prstGeom>
          <a:solidFill>
            <a:srgbClr val="BE4B18"/>
          </a:solidFill>
          <a:effectLst>
            <a:outerShdw blurRad="63500" dist="63500" algn="ctr" rotWithShape="0">
              <a:srgbClr val="000000">
                <a:alpha val="70000"/>
              </a:srgb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marL="0" indent="0" algn="ctr"/>
            <a:fld id="{E3C18C6B-97C9-46C0-949C-1CAF6E44DBC3}" type="TxLink">
              <a:rPr lang="en-US" sz="1600" b="1" i="0" u="none" strike="noStrike">
                <a:solidFill>
                  <a:schemeClr val="bg1">
                    <a:lumMod val="95000"/>
                  </a:schemeClr>
                </a:solidFill>
                <a:latin typeface="Aptos" panose="020B0004020202020204" pitchFamily="34" charset="0"/>
                <a:ea typeface="STHupo" panose="020B0503020204020204" pitchFamily="2" charset="-122"/>
                <a:cs typeface="Times New Roman"/>
              </a:rPr>
              <a:pPr marL="0" indent="0" algn="ctr"/>
              <a:t>307</a:t>
            </a:fld>
            <a:endParaRPr lang="en-IN" sz="1600" b="1" i="0" u="none" strike="noStrike">
              <a:solidFill>
                <a:schemeClr val="bg1">
                  <a:lumMod val="95000"/>
                </a:schemeClr>
              </a:solidFill>
              <a:latin typeface="Aptos" panose="020B0004020202020204" pitchFamily="34" charset="0"/>
              <a:ea typeface="STHupo" panose="020B0503020204020204" pitchFamily="2" charset="-122"/>
              <a:cs typeface="Times New Roman"/>
            </a:endParaRPr>
          </a:p>
        </xdr:txBody>
      </xdr:sp>
      <xdr:sp macro="" textlink="pivot_data!A4">
        <xdr:nvSpPr>
          <xdr:cNvPr id="104" name="Rectangle 103">
            <a:extLst>
              <a:ext uri="{FF2B5EF4-FFF2-40B4-BE49-F238E27FC236}">
                <a16:creationId xmlns:a16="http://schemas.microsoft.com/office/drawing/2014/main" id="{A2AC3F0B-AA49-4A5A-87A0-CB1E0D2968C2}"/>
              </a:ext>
            </a:extLst>
          </xdr:cNvPr>
          <xdr:cNvSpPr/>
        </xdr:nvSpPr>
        <xdr:spPr>
          <a:xfrm>
            <a:off x="216614" y="633181"/>
            <a:ext cx="1252604" cy="860120"/>
          </a:xfrm>
          <a:prstGeom prst="rect">
            <a:avLst/>
          </a:prstGeom>
          <a:solidFill>
            <a:srgbClr val="BE4B18"/>
          </a:solidFill>
          <a:effectLst>
            <a:outerShdw blurRad="63500" dist="63500" algn="ctr" rotWithShape="0">
              <a:srgbClr val="000000">
                <a:alpha val="70000"/>
              </a:srgb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marL="0" indent="0" algn="ctr"/>
            <a:fld id="{4B8C389F-C50E-40CF-9393-F5A134518991}" type="TxLink">
              <a:rPr lang="en-US" sz="1600" b="1" i="0" u="none" strike="noStrike">
                <a:solidFill>
                  <a:schemeClr val="bg1">
                    <a:lumMod val="95000"/>
                  </a:schemeClr>
                </a:solidFill>
                <a:latin typeface="Aptos" panose="020B0004020202020204" pitchFamily="34" charset="0"/>
                <a:ea typeface="STHupo" panose="020B0503020204020204" pitchFamily="2" charset="-122"/>
                <a:cs typeface="Times New Roman"/>
              </a:rPr>
              <a:pPr marL="0" indent="0" algn="ctr"/>
              <a:t>1,000</a:t>
            </a:fld>
            <a:endParaRPr lang="en-IN" sz="1600" b="1" i="0" u="none" strike="noStrike">
              <a:solidFill>
                <a:schemeClr val="bg1">
                  <a:lumMod val="95000"/>
                </a:schemeClr>
              </a:solidFill>
              <a:latin typeface="Aptos" panose="020B0004020202020204" pitchFamily="34" charset="0"/>
              <a:ea typeface="STHupo" panose="020B0503020204020204" pitchFamily="2" charset="-122"/>
              <a:cs typeface="Times New Roman"/>
            </a:endParaRPr>
          </a:p>
        </xdr:txBody>
      </xdr:sp>
      <xdr:sp macro="" textlink="">
        <xdr:nvSpPr>
          <xdr:cNvPr id="105" name="TextBox 104">
            <a:extLst>
              <a:ext uri="{FF2B5EF4-FFF2-40B4-BE49-F238E27FC236}">
                <a16:creationId xmlns:a16="http://schemas.microsoft.com/office/drawing/2014/main" id="{30E04638-DE24-419A-B6FD-19F24B45BCE4}"/>
              </a:ext>
            </a:extLst>
          </xdr:cNvPr>
          <xdr:cNvSpPr txBox="1"/>
        </xdr:nvSpPr>
        <xdr:spPr>
          <a:xfrm>
            <a:off x="315674" y="691856"/>
            <a:ext cx="1077344" cy="217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95000"/>
                  </a:schemeClr>
                </a:solidFill>
              </a:rPr>
              <a:t>Calls</a:t>
            </a:r>
          </a:p>
        </xdr:txBody>
      </xdr:sp>
      <xdr:pic>
        <xdr:nvPicPr>
          <xdr:cNvPr id="106" name="Graphic 105" descr="Receiver with solid fill">
            <a:extLst>
              <a:ext uri="{FF2B5EF4-FFF2-40B4-BE49-F238E27FC236}">
                <a16:creationId xmlns:a16="http://schemas.microsoft.com/office/drawing/2014/main" id="{08A63A02-6612-4C44-B13E-B54F156EA47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948553">
            <a:off x="253422" y="715613"/>
            <a:ext cx="162126" cy="185967"/>
          </a:xfrm>
          <a:prstGeom prst="rect">
            <a:avLst/>
          </a:prstGeom>
        </xdr:spPr>
      </xdr:pic>
      <xdr:sp macro="" textlink="pivot_data!A12">
        <xdr:nvSpPr>
          <xdr:cNvPr id="107" name="TextBox 106">
            <a:extLst>
              <a:ext uri="{FF2B5EF4-FFF2-40B4-BE49-F238E27FC236}">
                <a16:creationId xmlns:a16="http://schemas.microsoft.com/office/drawing/2014/main" id="{4555CC0F-1A5C-455D-9A3C-9FBE3A63C0D3}"/>
              </a:ext>
            </a:extLst>
          </xdr:cNvPr>
          <xdr:cNvSpPr txBox="1"/>
        </xdr:nvSpPr>
        <xdr:spPr>
          <a:xfrm>
            <a:off x="397935" y="1222119"/>
            <a:ext cx="949363" cy="201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42A8D9-120E-49B7-AEFE-D7F4DDA37C40}" type="TxLink">
              <a:rPr lang="en-US" sz="1100" b="0" i="0" u="none" strike="noStrike">
                <a:solidFill>
                  <a:srgbClr val="FAE4DA"/>
                </a:solidFill>
                <a:latin typeface="Times New Roman"/>
                <a:cs typeface="Times New Roman"/>
              </a:rPr>
              <a:pPr algn="ctr"/>
              <a:t>200</a:t>
            </a:fld>
            <a:endParaRPr lang="en-IN" sz="1100">
              <a:solidFill>
                <a:srgbClr val="FAE4DA"/>
              </a:solidFill>
            </a:endParaRPr>
          </a:p>
        </xdr:txBody>
      </xdr:sp>
      <xdr:sp macro="" textlink="pivot_data!B4">
        <xdr:nvSpPr>
          <xdr:cNvPr id="112" name="Rectangle 111">
            <a:extLst>
              <a:ext uri="{FF2B5EF4-FFF2-40B4-BE49-F238E27FC236}">
                <a16:creationId xmlns:a16="http://schemas.microsoft.com/office/drawing/2014/main" id="{332A8A54-4F7B-43F2-86CF-B06B89461DFE}"/>
              </a:ext>
            </a:extLst>
          </xdr:cNvPr>
          <xdr:cNvSpPr/>
        </xdr:nvSpPr>
        <xdr:spPr>
          <a:xfrm>
            <a:off x="216614" y="1583439"/>
            <a:ext cx="1252604" cy="847122"/>
          </a:xfrm>
          <a:prstGeom prst="rect">
            <a:avLst/>
          </a:prstGeom>
          <a:solidFill>
            <a:srgbClr val="BE4B18"/>
          </a:solidFill>
          <a:effectLst>
            <a:outerShdw blurRad="63500" dist="63500" algn="ctr" rotWithShape="0">
              <a:srgbClr val="000000">
                <a:alpha val="70000"/>
              </a:srgb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marL="0" indent="0" algn="ctr"/>
            <a:fld id="{3FDED89B-A3A5-4B47-AACE-286C11167E4D}" type="TxLink">
              <a:rPr lang="en-US" sz="1600" b="1" i="0" u="none" strike="noStrike">
                <a:solidFill>
                  <a:schemeClr val="bg1">
                    <a:lumMod val="95000"/>
                  </a:schemeClr>
                </a:solidFill>
                <a:latin typeface="Aptos" panose="020B0004020202020204" pitchFamily="34" charset="0"/>
                <a:ea typeface="STHupo" panose="020B0503020204020204" pitchFamily="2" charset="-122"/>
                <a:cs typeface="Times New Roman"/>
              </a:rPr>
              <a:pPr marL="0" indent="0" algn="ctr"/>
              <a:t>₹ 96,623</a:t>
            </a:fld>
            <a:endParaRPr lang="en-IN" sz="1600" b="1" i="0" u="none" strike="noStrike">
              <a:solidFill>
                <a:schemeClr val="bg1">
                  <a:lumMod val="95000"/>
                </a:schemeClr>
              </a:solidFill>
              <a:latin typeface="Aptos" panose="020B0004020202020204" pitchFamily="34" charset="0"/>
              <a:ea typeface="STHupo" panose="020B0503020204020204" pitchFamily="2" charset="-122"/>
              <a:cs typeface="Times New Roman"/>
            </a:endParaRPr>
          </a:p>
        </xdr:txBody>
      </xdr:sp>
      <xdr:sp macro="" textlink="">
        <xdr:nvSpPr>
          <xdr:cNvPr id="113" name="TextBox 112">
            <a:extLst>
              <a:ext uri="{FF2B5EF4-FFF2-40B4-BE49-F238E27FC236}">
                <a16:creationId xmlns:a16="http://schemas.microsoft.com/office/drawing/2014/main" id="{92DDEB37-CC85-49A1-A11C-221E31DF0431}"/>
              </a:ext>
            </a:extLst>
          </xdr:cNvPr>
          <xdr:cNvSpPr txBox="1"/>
        </xdr:nvSpPr>
        <xdr:spPr>
          <a:xfrm>
            <a:off x="315674" y="1642115"/>
            <a:ext cx="1077344" cy="217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95000"/>
                  </a:schemeClr>
                </a:solidFill>
              </a:rPr>
              <a:t>Amount</a:t>
            </a:r>
          </a:p>
        </xdr:txBody>
      </xdr:sp>
      <xdr:sp macro="" textlink="pivot_data!B12">
        <xdr:nvSpPr>
          <xdr:cNvPr id="115" name="TextBox 114">
            <a:extLst>
              <a:ext uri="{FF2B5EF4-FFF2-40B4-BE49-F238E27FC236}">
                <a16:creationId xmlns:a16="http://schemas.microsoft.com/office/drawing/2014/main" id="{68047B2D-72B0-4716-8521-68F57D12C06C}"/>
              </a:ext>
            </a:extLst>
          </xdr:cNvPr>
          <xdr:cNvSpPr txBox="1"/>
        </xdr:nvSpPr>
        <xdr:spPr>
          <a:xfrm>
            <a:off x="397935" y="2164757"/>
            <a:ext cx="949363" cy="197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422F9-A0B3-4234-9E9F-A39CAE2E565D}" type="TxLink">
              <a:rPr lang="en-US" sz="1100" b="0" i="0" u="none" strike="noStrike">
                <a:solidFill>
                  <a:srgbClr val="FAE4DA"/>
                </a:solidFill>
                <a:latin typeface="Times New Roman"/>
                <a:ea typeface="+mn-ea"/>
                <a:cs typeface="Times New Roman"/>
              </a:rPr>
              <a:pPr marL="0" indent="0" algn="ctr"/>
              <a:t>₹ 20,104</a:t>
            </a:fld>
            <a:endParaRPr lang="en-IN" sz="1100" b="0" i="0" u="none" strike="noStrike">
              <a:solidFill>
                <a:srgbClr val="FAE4DA"/>
              </a:solidFill>
              <a:latin typeface="Times New Roman"/>
              <a:ea typeface="+mn-ea"/>
              <a:cs typeface="Times New Roman"/>
            </a:endParaRPr>
          </a:p>
        </xdr:txBody>
      </xdr:sp>
      <xdr:sp macro="" textlink="pivot_data!C4">
        <xdr:nvSpPr>
          <xdr:cNvPr id="116" name="Rectangle 115">
            <a:extLst>
              <a:ext uri="{FF2B5EF4-FFF2-40B4-BE49-F238E27FC236}">
                <a16:creationId xmlns:a16="http://schemas.microsoft.com/office/drawing/2014/main" id="{F8F099A5-0FDD-4073-9248-B1897FFEBE0E}"/>
              </a:ext>
            </a:extLst>
          </xdr:cNvPr>
          <xdr:cNvSpPr/>
        </xdr:nvSpPr>
        <xdr:spPr>
          <a:xfrm>
            <a:off x="216614" y="2497840"/>
            <a:ext cx="1252604" cy="859672"/>
          </a:xfrm>
          <a:prstGeom prst="rect">
            <a:avLst/>
          </a:prstGeom>
          <a:solidFill>
            <a:srgbClr val="BE4B18"/>
          </a:solidFill>
          <a:effectLst>
            <a:outerShdw blurRad="63500" dist="63500" algn="ctr" rotWithShape="0">
              <a:srgbClr val="000000">
                <a:alpha val="70000"/>
              </a:srgb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marL="0" indent="0" algn="ctr"/>
            <a:fld id="{04B027B8-4E44-453C-BA14-63520CACD733}" type="TxLink">
              <a:rPr lang="en-US" sz="1600" b="1" i="0" u="none" strike="noStrike">
                <a:solidFill>
                  <a:schemeClr val="bg1">
                    <a:lumMod val="95000"/>
                  </a:schemeClr>
                </a:solidFill>
                <a:latin typeface="Aptos" panose="020B0004020202020204" pitchFamily="34" charset="0"/>
                <a:ea typeface="STHupo" panose="020B0503020204020204" pitchFamily="2" charset="-122"/>
                <a:cs typeface="Times New Roman"/>
              </a:rPr>
              <a:pPr marL="0" indent="0" algn="ctr"/>
              <a:t>89,850</a:t>
            </a:fld>
            <a:endParaRPr lang="en-IN" sz="1600" b="1" i="0" u="none" strike="noStrike">
              <a:solidFill>
                <a:schemeClr val="bg1">
                  <a:lumMod val="95000"/>
                </a:schemeClr>
              </a:solidFill>
              <a:latin typeface="Aptos" panose="020B0004020202020204" pitchFamily="34" charset="0"/>
              <a:ea typeface="STHupo" panose="020B0503020204020204" pitchFamily="2" charset="-122"/>
              <a:cs typeface="Times New Roman"/>
            </a:endParaRPr>
          </a:p>
        </xdr:txBody>
      </xdr:sp>
      <xdr:sp macro="" textlink="">
        <xdr:nvSpPr>
          <xdr:cNvPr id="117" name="TextBox 116">
            <a:extLst>
              <a:ext uri="{FF2B5EF4-FFF2-40B4-BE49-F238E27FC236}">
                <a16:creationId xmlns:a16="http://schemas.microsoft.com/office/drawing/2014/main" id="{169F7AC4-5DD3-4ADE-85E0-02AB787CB054}"/>
              </a:ext>
            </a:extLst>
          </xdr:cNvPr>
          <xdr:cNvSpPr txBox="1"/>
        </xdr:nvSpPr>
        <xdr:spPr>
          <a:xfrm>
            <a:off x="315674" y="2556515"/>
            <a:ext cx="1077344" cy="217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95000"/>
                  </a:schemeClr>
                </a:solidFill>
              </a:rPr>
              <a:t>Duration</a:t>
            </a:r>
          </a:p>
        </xdr:txBody>
      </xdr:sp>
      <xdr:pic>
        <xdr:nvPicPr>
          <xdr:cNvPr id="118" name="Graphic 117">
            <a:extLst>
              <a:ext uri="{FF2B5EF4-FFF2-40B4-BE49-F238E27FC236}">
                <a16:creationId xmlns:a16="http://schemas.microsoft.com/office/drawing/2014/main" id="{4AF9BCB9-EB3F-496D-91E7-2CD98D4EB86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230562" y="2553670"/>
            <a:ext cx="213093" cy="218686"/>
          </a:xfrm>
          <a:prstGeom prst="rect">
            <a:avLst/>
          </a:prstGeom>
        </xdr:spPr>
      </xdr:pic>
      <xdr:sp macro="" textlink="pivot_data!C12">
        <xdr:nvSpPr>
          <xdr:cNvPr id="119" name="TextBox 118">
            <a:extLst>
              <a:ext uri="{FF2B5EF4-FFF2-40B4-BE49-F238E27FC236}">
                <a16:creationId xmlns:a16="http://schemas.microsoft.com/office/drawing/2014/main" id="{76D650E7-9152-4766-BFE9-CC942D56E1E6}"/>
              </a:ext>
            </a:extLst>
          </xdr:cNvPr>
          <xdr:cNvSpPr txBox="1"/>
        </xdr:nvSpPr>
        <xdr:spPr>
          <a:xfrm>
            <a:off x="397935" y="3086777"/>
            <a:ext cx="949363" cy="202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B893CC6-2B62-4AFD-8688-38B5EFE21D7A}" type="TxLink">
              <a:rPr lang="en-US" sz="1100" b="0" i="0" u="none" strike="noStrike">
                <a:solidFill>
                  <a:srgbClr val="FAE4DA"/>
                </a:solidFill>
                <a:latin typeface="Times New Roman"/>
                <a:ea typeface="+mn-ea"/>
                <a:cs typeface="Times New Roman"/>
              </a:rPr>
              <a:pPr marL="0" indent="0" algn="ctr"/>
              <a:t>18,209</a:t>
            </a:fld>
            <a:endParaRPr lang="en-IN" sz="1100" b="0" i="0" u="none" strike="noStrike">
              <a:solidFill>
                <a:srgbClr val="FAE4DA"/>
              </a:solidFill>
              <a:latin typeface="Times New Roman"/>
              <a:ea typeface="+mn-ea"/>
              <a:cs typeface="Times New Roman"/>
            </a:endParaRPr>
          </a:p>
        </xdr:txBody>
      </xdr:sp>
      <xdr:sp macro="" textlink="pivot_data!D4">
        <xdr:nvSpPr>
          <xdr:cNvPr id="120" name="Rectangle 119">
            <a:extLst>
              <a:ext uri="{FF2B5EF4-FFF2-40B4-BE49-F238E27FC236}">
                <a16:creationId xmlns:a16="http://schemas.microsoft.com/office/drawing/2014/main" id="{96F3B65B-DC63-47C4-A9A2-C0FAB66FC6E4}"/>
              </a:ext>
            </a:extLst>
          </xdr:cNvPr>
          <xdr:cNvSpPr/>
        </xdr:nvSpPr>
        <xdr:spPr>
          <a:xfrm>
            <a:off x="216614" y="3394311"/>
            <a:ext cx="1252604" cy="859671"/>
          </a:xfrm>
          <a:prstGeom prst="rect">
            <a:avLst/>
          </a:prstGeom>
          <a:solidFill>
            <a:srgbClr val="BE4B18"/>
          </a:solidFill>
          <a:effectLst>
            <a:outerShdw blurRad="63500" dist="63500" algn="ctr" rotWithShape="0">
              <a:srgbClr val="000000">
                <a:alpha val="70000"/>
              </a:srgb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marL="0" indent="0" algn="ctr"/>
            <a:fld id="{322ED77A-2A72-4C84-AC6A-EB244F4A1380}" type="TxLink">
              <a:rPr lang="en-US" sz="1600" b="1" i="0" u="none" strike="noStrike">
                <a:solidFill>
                  <a:schemeClr val="bg1">
                    <a:lumMod val="95000"/>
                  </a:schemeClr>
                </a:solidFill>
                <a:latin typeface="Aptos" panose="020B0004020202020204" pitchFamily="34" charset="0"/>
                <a:ea typeface="STHupo" panose="020B0503020204020204" pitchFamily="2" charset="-122"/>
                <a:cs typeface="Times New Roman"/>
              </a:rPr>
              <a:pPr marL="0" indent="0" algn="ctr"/>
              <a:t>3.89</a:t>
            </a:fld>
            <a:endParaRPr lang="en-IN" sz="1600" b="1" i="0" u="none" strike="noStrike">
              <a:solidFill>
                <a:schemeClr val="bg1">
                  <a:lumMod val="95000"/>
                </a:schemeClr>
              </a:solidFill>
              <a:latin typeface="Aptos" panose="020B0004020202020204" pitchFamily="34" charset="0"/>
              <a:ea typeface="STHupo" panose="020B0503020204020204" pitchFamily="2" charset="-122"/>
              <a:cs typeface="Times New Roman"/>
            </a:endParaRPr>
          </a:p>
        </xdr:txBody>
      </xdr:sp>
      <xdr:sp macro="" textlink="">
        <xdr:nvSpPr>
          <xdr:cNvPr id="121" name="TextBox 120">
            <a:extLst>
              <a:ext uri="{FF2B5EF4-FFF2-40B4-BE49-F238E27FC236}">
                <a16:creationId xmlns:a16="http://schemas.microsoft.com/office/drawing/2014/main" id="{6A87160F-D66E-4E39-AA72-28EA27CFA1BE}"/>
              </a:ext>
            </a:extLst>
          </xdr:cNvPr>
          <xdr:cNvSpPr txBox="1"/>
        </xdr:nvSpPr>
        <xdr:spPr>
          <a:xfrm>
            <a:off x="315674" y="3432420"/>
            <a:ext cx="1138304" cy="258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IN" sz="1200">
                <a:solidFill>
                  <a:schemeClr val="bg1">
                    <a:lumMod val="95000"/>
                  </a:schemeClr>
                </a:solidFill>
              </a:rPr>
              <a:t>Avg. Rating</a:t>
            </a:r>
          </a:p>
        </xdr:txBody>
      </xdr:sp>
      <xdr:pic>
        <xdr:nvPicPr>
          <xdr:cNvPr id="122" name="Graphic 121">
            <a:extLst>
              <a:ext uri="{FF2B5EF4-FFF2-40B4-BE49-F238E27FC236}">
                <a16:creationId xmlns:a16="http://schemas.microsoft.com/office/drawing/2014/main" id="{0F6DAA83-EEED-41D6-ACB6-7338A718228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253422" y="3485867"/>
            <a:ext cx="162126" cy="167719"/>
          </a:xfrm>
          <a:prstGeom prst="rect">
            <a:avLst/>
          </a:prstGeom>
        </xdr:spPr>
      </xdr:pic>
      <xdr:sp macro="" textlink="pivot_data!D12">
        <xdr:nvSpPr>
          <xdr:cNvPr id="123" name="TextBox 122">
            <a:extLst>
              <a:ext uri="{FF2B5EF4-FFF2-40B4-BE49-F238E27FC236}">
                <a16:creationId xmlns:a16="http://schemas.microsoft.com/office/drawing/2014/main" id="{AF3963A6-112B-48A7-9060-7B1E09CB5016}"/>
              </a:ext>
            </a:extLst>
          </xdr:cNvPr>
          <xdr:cNvSpPr txBox="1"/>
        </xdr:nvSpPr>
        <xdr:spPr>
          <a:xfrm>
            <a:off x="397935" y="3983248"/>
            <a:ext cx="949363" cy="202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4C1192-C2A0-4303-94E7-ADA464617BF0}" type="TxLink">
              <a:rPr lang="en-US" sz="1100" b="0" i="0" u="none" strike="noStrike">
                <a:solidFill>
                  <a:srgbClr val="FAE4DA"/>
                </a:solidFill>
                <a:latin typeface="Times New Roman"/>
                <a:ea typeface="+mn-ea"/>
                <a:cs typeface="Times New Roman"/>
              </a:rPr>
              <a:pPr marL="0" indent="0" algn="ctr"/>
              <a:t>3.88</a:t>
            </a:fld>
            <a:endParaRPr lang="en-IN" sz="1100" b="0" i="0" u="none" strike="noStrike">
              <a:solidFill>
                <a:srgbClr val="FAE4DA"/>
              </a:solidFill>
              <a:latin typeface="Times New Roman"/>
              <a:ea typeface="+mn-ea"/>
              <a:cs typeface="Times New Roman"/>
            </a:endParaRPr>
          </a:p>
        </xdr:txBody>
      </xdr:sp>
      <xdr:sp macro="" textlink="">
        <xdr:nvSpPr>
          <xdr:cNvPr id="129" name="TextBox 128">
            <a:extLst>
              <a:ext uri="{FF2B5EF4-FFF2-40B4-BE49-F238E27FC236}">
                <a16:creationId xmlns:a16="http://schemas.microsoft.com/office/drawing/2014/main" id="{43476E40-42F9-46C7-8DCE-2815C4130D42}"/>
              </a:ext>
            </a:extLst>
          </xdr:cNvPr>
          <xdr:cNvSpPr txBox="1"/>
        </xdr:nvSpPr>
        <xdr:spPr>
          <a:xfrm>
            <a:off x="113637" y="4328890"/>
            <a:ext cx="1401301" cy="258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IN" sz="1200">
                <a:solidFill>
                  <a:schemeClr val="bg1">
                    <a:lumMod val="95000"/>
                  </a:schemeClr>
                </a:solidFill>
              </a:rPr>
              <a:t>Happy Callers</a:t>
            </a:r>
          </a:p>
        </xdr:txBody>
      </xdr:sp>
      <xdr:sp macro="" textlink="pivot_data!E12">
        <xdr:nvSpPr>
          <xdr:cNvPr id="131" name="TextBox 130">
            <a:extLst>
              <a:ext uri="{FF2B5EF4-FFF2-40B4-BE49-F238E27FC236}">
                <a16:creationId xmlns:a16="http://schemas.microsoft.com/office/drawing/2014/main" id="{94FF514E-9532-4472-B258-AB22E1E34220}"/>
              </a:ext>
            </a:extLst>
          </xdr:cNvPr>
          <xdr:cNvSpPr txBox="1"/>
        </xdr:nvSpPr>
        <xdr:spPr>
          <a:xfrm>
            <a:off x="397935" y="4879719"/>
            <a:ext cx="949363" cy="202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523A61E-D6FB-4596-8B8F-520150A91BAA}" type="TxLink">
              <a:rPr lang="en-US" sz="1100" b="0" i="0" u="none" strike="noStrike">
                <a:solidFill>
                  <a:srgbClr val="FAE4DA"/>
                </a:solidFill>
                <a:latin typeface="Times New Roman"/>
                <a:ea typeface="+mn-ea"/>
                <a:cs typeface="Times New Roman"/>
              </a:rPr>
              <a:pPr marL="0" indent="0" algn="ctr"/>
              <a:t>51</a:t>
            </a:fld>
            <a:endParaRPr lang="en-IN" sz="1100" b="0" i="0" u="none" strike="noStrike">
              <a:solidFill>
                <a:srgbClr val="FAE4DA"/>
              </a:solidFill>
              <a:latin typeface="Times New Roman"/>
              <a:ea typeface="+mn-ea"/>
              <a:cs typeface="Times New Roman"/>
            </a:endParaRPr>
          </a:p>
        </xdr:txBody>
      </xdr:sp>
      <xdr:pic>
        <xdr:nvPicPr>
          <xdr:cNvPr id="136" name="Graphic 135" descr="Shopping cart with solid fill">
            <a:extLst>
              <a:ext uri="{FF2B5EF4-FFF2-40B4-BE49-F238E27FC236}">
                <a16:creationId xmlns:a16="http://schemas.microsoft.com/office/drawing/2014/main" id="{E029FB83-7946-4B87-B6E6-9110676C62A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4234" y="1634519"/>
            <a:ext cx="288001" cy="240254"/>
          </a:xfrm>
          <a:prstGeom prst="rect">
            <a:avLst/>
          </a:prstGeom>
        </xdr:spPr>
      </xdr:pic>
    </xdr:grpSp>
    <xdr:clientData/>
  </xdr:twoCellAnchor>
  <xdr:twoCellAnchor>
    <xdr:from>
      <xdr:col>10</xdr:col>
      <xdr:colOff>242846</xdr:colOff>
      <xdr:row>15</xdr:row>
      <xdr:rowOff>164327</xdr:rowOff>
    </xdr:from>
    <xdr:to>
      <xdr:col>12</xdr:col>
      <xdr:colOff>174266</xdr:colOff>
      <xdr:row>25</xdr:row>
      <xdr:rowOff>26894</xdr:rowOff>
    </xdr:to>
    <mc:AlternateContent xmlns:mc="http://schemas.openxmlformats.org/markup-compatibility/2006" xmlns:a14="http://schemas.microsoft.com/office/drawing/2010/main">
      <mc:Choice Requires="a14">
        <xdr:graphicFrame macro="">
          <xdr:nvGraphicFramePr>
            <xdr:cNvPr id="137" name="Representative">
              <a:extLst>
                <a:ext uri="{FF2B5EF4-FFF2-40B4-BE49-F238E27FC236}">
                  <a16:creationId xmlns:a16="http://schemas.microsoft.com/office/drawing/2014/main" id="{A2032BBB-B3BB-4D20-85C8-C236753F860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5457784" y="2871015"/>
              <a:ext cx="1153795" cy="1678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505239</xdr:colOff>
      <xdr:row>3</xdr:row>
      <xdr:rowOff>149087</xdr:rowOff>
    </xdr:from>
    <xdr:to>
      <xdr:col>8</xdr:col>
      <xdr:colOff>505239</xdr:colOff>
      <xdr:row>13</xdr:row>
      <xdr:rowOff>149087</xdr:rowOff>
    </xdr:to>
    <xdr:graphicFrame macro="">
      <xdr:nvGraphicFramePr>
        <xdr:cNvPr id="138" name="Chart 137">
          <a:extLst>
            <a:ext uri="{FF2B5EF4-FFF2-40B4-BE49-F238E27FC236}">
              <a16:creationId xmlns:a16="http://schemas.microsoft.com/office/drawing/2014/main" id="{E0A42C82-376C-487D-A727-CE4E6C89E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520479</xdr:colOff>
      <xdr:row>13</xdr:row>
      <xdr:rowOff>171947</xdr:rowOff>
    </xdr:from>
    <xdr:to>
      <xdr:col>10</xdr:col>
      <xdr:colOff>273326</xdr:colOff>
      <xdr:row>33</xdr:row>
      <xdr:rowOff>18143</xdr:rowOff>
    </xdr:to>
    <xdr:grpSp>
      <xdr:nvGrpSpPr>
        <xdr:cNvPr id="5" name="Group 4">
          <a:extLst>
            <a:ext uri="{FF2B5EF4-FFF2-40B4-BE49-F238E27FC236}">
              <a16:creationId xmlns:a16="http://schemas.microsoft.com/office/drawing/2014/main" id="{4A017CBB-604C-E33D-DFC0-80439342A6DA}"/>
            </a:ext>
          </a:extLst>
        </xdr:cNvPr>
        <xdr:cNvGrpSpPr/>
      </xdr:nvGrpSpPr>
      <xdr:grpSpPr>
        <a:xfrm>
          <a:off x="1685891" y="2520700"/>
          <a:ext cx="4020047" cy="3432078"/>
          <a:chOff x="2209800" y="2796540"/>
          <a:chExt cx="4878351" cy="2269887"/>
        </a:xfrm>
      </xdr:grpSpPr>
      <xdr:sp macro="" textlink="">
        <xdr:nvSpPr>
          <xdr:cNvPr id="4" name="Rectangle 3">
            <a:extLst>
              <a:ext uri="{FF2B5EF4-FFF2-40B4-BE49-F238E27FC236}">
                <a16:creationId xmlns:a16="http://schemas.microsoft.com/office/drawing/2014/main" id="{D4872D52-E43F-AD41-F38D-B742DA1CB2B6}"/>
              </a:ext>
            </a:extLst>
          </xdr:cNvPr>
          <xdr:cNvSpPr/>
        </xdr:nvSpPr>
        <xdr:spPr>
          <a:xfrm>
            <a:off x="2225040" y="2865120"/>
            <a:ext cx="4853940" cy="214122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 name="Chart 1">
            <a:extLst>
              <a:ext uri="{FF2B5EF4-FFF2-40B4-BE49-F238E27FC236}">
                <a16:creationId xmlns:a16="http://schemas.microsoft.com/office/drawing/2014/main" id="{145F050F-A166-43C6-8F67-11E451ACC08E}"/>
              </a:ext>
            </a:extLst>
          </xdr:cNvPr>
          <xdr:cNvGraphicFramePr>
            <a:graphicFrameLocks/>
          </xdr:cNvGraphicFramePr>
        </xdr:nvGraphicFramePr>
        <xdr:xfrm>
          <a:off x="2209800" y="2796540"/>
          <a:ext cx="2484120" cy="221742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 name="Chart 2">
            <a:extLst>
              <a:ext uri="{FF2B5EF4-FFF2-40B4-BE49-F238E27FC236}">
                <a16:creationId xmlns:a16="http://schemas.microsoft.com/office/drawing/2014/main" id="{FC9BF8F4-F2A5-41D2-BF4E-742C08041469}"/>
              </a:ext>
            </a:extLst>
          </xdr:cNvPr>
          <xdr:cNvGraphicFramePr>
            <a:graphicFrameLocks/>
          </xdr:cNvGraphicFramePr>
        </xdr:nvGraphicFramePr>
        <xdr:xfrm>
          <a:off x="4505613" y="2826147"/>
          <a:ext cx="2582538" cy="224028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12</xdr:col>
      <xdr:colOff>248694</xdr:colOff>
      <xdr:row>3</xdr:row>
      <xdr:rowOff>122330</xdr:rowOff>
    </xdr:from>
    <xdr:to>
      <xdr:col>16</xdr:col>
      <xdr:colOff>254000</xdr:colOff>
      <xdr:row>13</xdr:row>
      <xdr:rowOff>29593</xdr:rowOff>
    </xdr:to>
    <xdr:graphicFrame macro="">
      <xdr:nvGraphicFramePr>
        <xdr:cNvPr id="6" name="Chart 5">
          <a:extLst>
            <a:ext uri="{FF2B5EF4-FFF2-40B4-BE49-F238E27FC236}">
              <a16:creationId xmlns:a16="http://schemas.microsoft.com/office/drawing/2014/main" id="{8AB29D82-6424-4972-B111-7E15D15A6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301624</xdr:colOff>
      <xdr:row>3</xdr:row>
      <xdr:rowOff>93799</xdr:rowOff>
    </xdr:from>
    <xdr:to>
      <xdr:col>20</xdr:col>
      <xdr:colOff>119062</xdr:colOff>
      <xdr:row>13</xdr:row>
      <xdr:rowOff>0</xdr:rowOff>
    </xdr:to>
    <xdr:graphicFrame macro="">
      <xdr:nvGraphicFramePr>
        <xdr:cNvPr id="7" name="Chart 6">
          <a:extLst>
            <a:ext uri="{FF2B5EF4-FFF2-40B4-BE49-F238E27FC236}">
              <a16:creationId xmlns:a16="http://schemas.microsoft.com/office/drawing/2014/main" id="{312AB6EE-F9CF-4FDA-A0F7-2A5A3A0D7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Dixit" refreshedDate="46119.724463194441" backgroundQuery="1" createdVersion="8" refreshedVersion="8" minRefreshableVersion="3" recordCount="0" supportSubquery="1" supportAdvancedDrill="1" xr:uid="{D394A7B0-0371-4406-BA03-C0E647C68F25}">
  <cacheSource type="external" connectionId="1"/>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nge].[Rating List]" caption="Rating List" attribute="1" defaultMemberUniqueName="[Range].[Rating List].[All]" allUniqueName="[Range].[Rating List].[All]" dimensionUniqueName="[Range]"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4">
    <dimension name="calls" uniqueName="[calls]" caption="calls"/>
    <dimension name="customers" uniqueName="[customers]" caption="customers"/>
    <dimension measure="1" name="Measures" uniqueName="[Measures]" caption="Measures"/>
    <dimension name="Range" uniqueName="[Range]" caption="Range"/>
  </dimensions>
  <measureGroups count="3">
    <measureGroup name="calls" caption="calls"/>
    <measureGroup name="customers" caption="customers"/>
    <measureGroup name="Range" caption="Range"/>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Dixit" refreshedDate="46119.725025694446" backgroundQuery="1" createdVersion="8" refreshedVersion="8" minRefreshableVersion="3" recordCount="0" supportSubquery="1" supportAdvancedDrill="1" xr:uid="{7D905849-0A23-4E59-B409-19C05FEDB50A}">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ount Calls]" caption="Count Calls"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Range].[Rating List]" caption="Rating List" attribute="1" defaultMemberUniqueName="[Range].[Rating List].[All]" allUniqueName="[Range].[Rating List].[All]" dimensionUniqueName="[Range]"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4">
    <dimension name="calls" uniqueName="[calls]" caption="calls"/>
    <dimension name="customers" uniqueName="[customers]" caption="customers"/>
    <dimension measure="1" name="Measures" uniqueName="[Measures]" caption="Measures"/>
    <dimension name="Range" uniqueName="[Range]" caption="Range"/>
  </dimensions>
  <measureGroups count="3">
    <measureGroup name="calls" caption="calls"/>
    <measureGroup name="customers" caption="customers"/>
    <measureGroup name="Range" caption="Range"/>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Dixit" refreshedDate="46119.725032407405" backgroundQuery="1" createdVersion="8" refreshedVersion="8" minRefreshableVersion="3" recordCount="0" supportSubquery="1" supportAdvancedDrill="1" xr:uid="{20C99F53-7017-4F8F-9EE7-EE50B8F9FAF5}">
  <cacheSource type="external" connectionId="1"/>
  <cacheFields count="3">
    <cacheField name="[calls].[Representative].[Representative]" caption="Representative" numFmtId="0" hierarchy="3" level="1">
      <sharedItems count="5">
        <s v="R01"/>
        <s v="R02"/>
        <s v="R03"/>
        <s v="R04"/>
        <s v="R05"/>
      </sharedItems>
    </cacheField>
    <cacheField name="[Measures].[Count Calls]" caption="Count Calls" numFmtId="0" hierarchy="18" level="32767"/>
    <cacheField name="[Measures].[Total Amount]" caption="Total Amount" numFmtId="0" hierarchy="19"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nge].[Rating List]" caption="Rating List" attribute="1" defaultMemberUniqueName="[Range].[Rating List].[All]" allUniqueName="[Range].[Rating List].[All]" dimensionUniqueName="[Range]"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4">
    <dimension name="calls" uniqueName="[calls]" caption="calls"/>
    <dimension name="customers" uniqueName="[customers]" caption="customers"/>
    <dimension measure="1" name="Measures" uniqueName="[Measures]" caption="Measures"/>
    <dimension name="Range" uniqueName="[Range]" caption="Range"/>
  </dimensions>
  <measureGroups count="3">
    <measureGroup name="calls" caption="calls"/>
    <measureGroup name="customers" caption="customers"/>
    <measureGroup name="Range" caption="Range"/>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Dixit" refreshedDate="46119.725033449075" backgroundQuery="1" createdVersion="8" refreshedVersion="8" minRefreshableVersion="3" recordCount="0" supportSubquery="1" supportAdvancedDrill="1" xr:uid="{F7FED395-8F5E-4F87-BE5D-7B5657DE99FB}">
  <cacheSource type="external" connectionId="1"/>
  <cacheFields count="5">
    <cacheField name="[Measures].[Count Calls]" caption="Count Calls"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rating]" caption="5* rating" numFmtId="0" hierarchy="22"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nge].[Rating List]" caption="Rating List" attribute="1" defaultMemberUniqueName="[Range].[Rating List].[All]" allUniqueName="[Range].[Rating List].[All]" dimensionUniqueName="[Range]"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rating]" caption="5*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4">
    <dimension name="calls" uniqueName="[calls]" caption="calls"/>
    <dimension name="customers" uniqueName="[customers]" caption="customers"/>
    <dimension measure="1" name="Measures" uniqueName="[Measures]" caption="Measures"/>
    <dimension name="Range" uniqueName="[Range]" caption="Range"/>
  </dimensions>
  <measureGroups count="3">
    <measureGroup name="calls" caption="calls"/>
    <measureGroup name="customers" caption="customers"/>
    <measureGroup name="Range" caption="Range"/>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Dixit" refreshedDate="46120.432144791666" backgroundQuery="1" createdVersion="8" refreshedVersion="8" minRefreshableVersion="3" recordCount="0" supportSubquery="1" supportAdvancedDrill="1" xr:uid="{85B65D38-C3CC-40E5-9693-3975B7752305}">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9"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Range].[Rating List]" caption="Rating List" attribute="1" defaultMemberUniqueName="[Range].[Rating List].[All]" allUniqueName="[Range].[Rating List].[All]" dimensionUniqueName="[Range]"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4">
    <dimension name="calls" uniqueName="[calls]" caption="calls"/>
    <dimension name="customers" uniqueName="[customers]" caption="customers"/>
    <dimension measure="1" name="Measures" uniqueName="[Measures]" caption="Measures"/>
    <dimension name="Range" uniqueName="[Range]" caption="Range"/>
  </dimensions>
  <measureGroups count="3">
    <measureGroup name="calls" caption="calls"/>
    <measureGroup name="customers" caption="customers"/>
    <measureGroup name="Range" caption="Range"/>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Dixit" refreshedDate="46120.568452546293" backgroundQuery="1" createdVersion="8" refreshedVersion="8" minRefreshableVersion="3" recordCount="0" supportSubquery="1" supportAdvancedDrill="1" xr:uid="{0ABB4A00-2BE0-42C0-81E3-05CAEE0C96BC}">
  <cacheSource type="external" connectionId="1"/>
  <cacheFields count="6">
    <cacheField name="[Measures].[Count Calls]" caption="Count Calls"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rating]" caption="5* rating" numFmtId="0" hierarchy="22"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nge].[Rating List]" caption="Rating List" attribute="1" defaultMemberUniqueName="[Range].[Rating List].[All]" allUniqueName="[Range].[Rating List].[All]" dimensionUniqueName="[Range]"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rating]" caption="5*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4">
    <dimension name="calls" uniqueName="[calls]" caption="calls"/>
    <dimension name="customers" uniqueName="[customers]" caption="customers"/>
    <dimension measure="1" name="Measures" uniqueName="[Measures]" caption="Measures"/>
    <dimension name="Range" uniqueName="[Range]" caption="Range"/>
  </dimensions>
  <measureGroups count="3">
    <measureGroup name="calls" caption="calls"/>
    <measureGroup name="customers" caption="customers"/>
    <measureGroup name="Range" caption="Range"/>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Dixit" refreshedDate="46120.568452893516" backgroundQuery="1" createdVersion="8" refreshedVersion="8" minRefreshableVersion="3" recordCount="0" supportSubquery="1" supportAdvancedDrill="1" xr:uid="{13EC869B-3C2E-4535-898E-CE0C0A44835B}">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Calls]" caption="Count Calls" numFmtId="0" hierarchy="18"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nge].[Rating List]" caption="Rating List" attribute="1" defaultMemberUniqueName="[Range].[Rating List].[All]" allUniqueName="[Range].[Rating List].[All]" dimensionUniqueName="[Range]"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4">
    <dimension name="calls" uniqueName="[calls]" caption="calls"/>
    <dimension name="customers" uniqueName="[customers]" caption="customers"/>
    <dimension measure="1" name="Measures" uniqueName="[Measures]" caption="Measures"/>
    <dimension name="Range" uniqueName="[Range]" caption="Range"/>
  </dimensions>
  <measureGroups count="3">
    <measureGroup name="calls" caption="calls"/>
    <measureGroup name="customers" caption="customers"/>
    <measureGroup name="Range" caption="Range"/>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Dixit" refreshedDate="46120.568453240739" backgroundQuery="1" createdVersion="8" refreshedVersion="8" minRefreshableVersion="3" recordCount="0" supportSubquery="1" supportAdvancedDrill="1" xr:uid="{42F2AD69-3E6F-4A0C-8BE0-987879216849}">
  <cacheSource type="external" connectionId="1"/>
  <cacheFields count="3">
    <cacheField name="[Measures].[Count Calls]" caption="Count Calls" numFmtId="0" hierarchy="18"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nge].[Rating List]" caption="Rating List" attribute="1" defaultMemberUniqueName="[Range].[Rating List].[All]" allUniqueName="[Range].[Rating List].[All]" dimensionUniqueName="[Range]"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4">
    <dimension name="calls" uniqueName="[calls]" caption="calls"/>
    <dimension name="customers" uniqueName="[customers]" caption="customers"/>
    <dimension measure="1" name="Measures" uniqueName="[Measures]" caption="Measures"/>
    <dimension name="Range" uniqueName="[Range]" caption="Range"/>
  </dimensions>
  <measureGroups count="3">
    <measureGroup name="calls" caption="calls"/>
    <measureGroup name="customers" caption="customers"/>
    <measureGroup name="Range" caption="Range"/>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Dixit" refreshedDate="46120.568453587963" backgroundQuery="1" createdVersion="8" refreshedVersion="8" minRefreshableVersion="3" recordCount="0" supportSubquery="1" supportAdvancedDrill="1" xr:uid="{E9141B9A-8748-4DF4-ADEE-3A2A826A37D6}">
  <cacheSource type="external" connectionId="1"/>
  <cacheFields count="1">
    <cacheField name="[calls].[Representative].[Representative]" caption="Representative" numFmtId="0" hierarchy="3" level="1">
      <sharedItems count="1">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nge].[Rating List]" caption="Rating List" attribute="1" defaultMemberUniqueName="[Range].[Rating List].[All]" allUniqueName="[Range].[Rating List].[All]" dimensionUniqueName="[Range]"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4">
    <dimension name="calls" uniqueName="[calls]" caption="calls"/>
    <dimension name="customers" uniqueName="[customers]" caption="customers"/>
    <dimension measure="1" name="Measures" uniqueName="[Measures]" caption="Measures"/>
    <dimension name="Range" uniqueName="[Range]" caption="Range"/>
  </dimensions>
  <measureGroups count="3">
    <measureGroup name="calls" caption="calls"/>
    <measureGroup name="customers" caption="customers"/>
    <measureGroup name="Range" caption="Range"/>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Dixit" refreshedDate="46120.568453935186" backgroundQuery="1" createdVersion="8" refreshedVersion="8" minRefreshableVersion="3" recordCount="0" supportSubquery="1" supportAdvancedDrill="1" xr:uid="{6BAF77F6-A535-42F1-9B07-F79A99A3AC40}">
  <cacheSource type="external" connectionId="1"/>
  <cacheFields count="3">
    <cacheField name="[Measures].[Count Calls]" caption="Count Calls" numFmtId="0" hierarchy="18" level="32767"/>
    <cacheField name="[calls].[Representative].[Representative]" caption="Representative" numFmtId="0" hierarchy="3" level="1">
      <sharedItems containsSemiMixedTypes="0" containsNonDate="0" containsString="0"/>
    </cacheField>
    <cacheField name="[Range].[Rating List].[Rating List]" caption="Rating List" numFmtId="0" hierarchy="16"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Range].[Rating List].&amp;[0]"/>
            <x15:cachedUniqueName index="1" name="[Range].[Rating List].&amp;[1]"/>
            <x15:cachedUniqueName index="2" name="[Range].[Rating List].&amp;[2]"/>
            <x15:cachedUniqueName index="3" name="[Range].[Rating List].&amp;[3]"/>
            <x15:cachedUniqueName index="4" name="[Range].[Rating List].&amp;[4]"/>
            <x15:cachedUniqueName index="5" name="[Range].[Rating List].&amp;[5]"/>
          </x15:cachedUniqueNames>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nge].[Rating List]" caption="Rating List" attribute="1" defaultMemberUniqueName="[Range].[Rating List].[All]" allUniqueName="[Range].[Rating List].[All]" dimensionUniqueName="[Range]" displayFolder="" count="2" memberValueDatatype="2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4">
    <dimension name="calls" uniqueName="[calls]" caption="calls"/>
    <dimension name="customers" uniqueName="[customers]" caption="customers"/>
    <dimension measure="1" name="Measures" uniqueName="[Measures]" caption="Measures"/>
    <dimension name="Range" uniqueName="[Range]" caption="Range"/>
  </dimensions>
  <measureGroups count="3">
    <measureGroup name="calls" caption="calls"/>
    <measureGroup name="customers" caption="customers"/>
    <measureGroup name="Range" caption="Range"/>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Dixit" refreshedDate="46119.725026388885" backgroundQuery="1" createdVersion="3" refreshedVersion="8" minRefreshableVersion="3" recordCount="0" supportSubquery="1" supportAdvancedDrill="1" xr:uid="{AE5C4781-8354-43CD-9978-375238C6D554}">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nge].[Rating List]" caption="Rating List" attribute="1" defaultMemberUniqueName="[Range].[Rating List].[All]" allUniqueName="[Range].[Rating List].[All]" dimensionUniqueName="[Range]"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9116406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2827E1-2D83-4224-B9EC-E4F50E26125C}" name="monthly trend" cacheId="3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7:C3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ount Calls2" fld="4" subtotal="count" baseField="0" baseItem="0">
      <extLst>
        <ext xmlns:x14="http://schemas.microsoft.com/office/spreadsheetml/2009/9/main" uri="{E15A36E0-9728-4e99-A89B-3F7291B0FE68}">
          <x14:dataField sourceField="3" uniqueName="[__Xl2].[Measures].[Count Calls]"/>
        </ext>
      </extLst>
    </dataField>
  </dataFields>
  <chartFormats count="2">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125162-C6A8-4059-AFB3-8A50C0CF5004}" name="PivotTable6"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0:C46" firstHeaderRow="0"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C29B69-A449-4F24-A1A5-45D71F42ED3A}" name="PivotTable2" cacheId="3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A177DF-C7F3-4303-84B4-C9151701BCC9}" name="PivotTable3" cacheId="1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86:G105"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A47D29-159C-4455-B48C-ADAAF847CA11}"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63:N80" firstHeaderRow="1" firstDataRow="1" firstDataCol="0"/>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_data!$H$73:$H$7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AF1926-2A60-443E-925D-5F7B6F87967E}" name="representative pivot" cacheId="3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3:A5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FD9DD3-7CC2-4931-92ED-F7DE33BA00E3}" name="PivotTable1"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23BE08-E9AF-4813-9D2E-058CE9A09191}" name="week day trend" cacheId="360"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30">
  <location ref="M19:N27" firstHeaderRow="1" firstDataRow="1" firstDataCol="1"/>
  <pivotFields count="3">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10">
    <chartFormat chart="2"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 count="1" selected="0">
            <x v="0"/>
          </reference>
        </references>
      </pivotArea>
    </chartFormat>
    <chartFormat chart="22" format="4">
      <pivotArea type="data" outline="0" fieldPosition="0">
        <references count="2">
          <reference field="4294967294" count="1" selected="0">
            <x v="0"/>
          </reference>
          <reference field="1" count="1" selected="0">
            <x v="1"/>
          </reference>
        </references>
      </pivotArea>
    </chartFormat>
    <chartFormat chart="22" format="5">
      <pivotArea type="data" outline="0" fieldPosition="0">
        <references count="2">
          <reference field="4294967294" count="1" selected="0">
            <x v="0"/>
          </reference>
          <reference field="1" count="1" selected="0">
            <x v="2"/>
          </reference>
        </references>
      </pivotArea>
    </chartFormat>
    <chartFormat chart="22" format="6">
      <pivotArea type="data" outline="0" fieldPosition="0">
        <references count="2">
          <reference field="4294967294" count="1" selected="0">
            <x v="0"/>
          </reference>
          <reference field="1" count="1" selected="0">
            <x v="3"/>
          </reference>
        </references>
      </pivotArea>
    </chartFormat>
    <chartFormat chart="22" format="7">
      <pivotArea type="data" outline="0" fieldPosition="0">
        <references count="2">
          <reference field="4294967294" count="1" selected="0">
            <x v="0"/>
          </reference>
          <reference field="1" count="1" selected="0">
            <x v="4"/>
          </reference>
        </references>
      </pivotArea>
    </chartFormat>
    <chartFormat chart="22" format="8">
      <pivotArea type="data" outline="0" fieldPosition="0">
        <references count="2">
          <reference field="4294967294" count="1" selected="0">
            <x v="0"/>
          </reference>
          <reference field="1" count="1" selected="0">
            <x v="5"/>
          </reference>
        </references>
      </pivotArea>
    </chartFormat>
    <chartFormat chart="22" format="9">
      <pivotArea type="data" outline="0" fieldPosition="0">
        <references count="2">
          <reference field="4294967294" count="1" selected="0">
            <x v="0"/>
          </reference>
          <reference field="1" count="1" selected="0">
            <x v="6"/>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FF28A6-9DE7-415C-9642-568522FC4005}" name="rep rating" cacheId="366" applyNumberFormats="0" applyBorderFormats="0" applyFontFormats="0" applyPatternFormats="0" applyAlignmentFormats="0" applyWidthHeightFormats="1" dataCaption="Values" updatedVersion="8" minRefreshableVersion="3" useAutoFormatting="1" subtotalHiddenItems="1" itemPrintTitles="1" createdVersion="8" indent="0" showEmptyRow="1" showEmptyCol="1" outline="1" outlineData="1" multipleFieldFilters="0" chartFormat="18">
  <location ref="A73:B80"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fld="0"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F42A64-7B92-417D-AA61-BDDEF470E235}" name="PivotTable4"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63:D68"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7">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3">
          <reference field="4294967294" count="1" selected="0">
            <x v="0"/>
          </reference>
          <reference field="0" count="1" selected="0">
            <x v="0"/>
          </reference>
          <reference field="1" count="1" selected="0">
            <x v="1"/>
          </reference>
        </references>
      </pivotArea>
    </chartFormat>
    <chartFormat chart="4" format="3" series="1">
      <pivotArea type="data" outline="0" fieldPosition="0">
        <references count="2">
          <reference field="4294967294" count="1" selected="0">
            <x v="0"/>
          </reference>
          <reference field="1" count="1" selected="0">
            <x v="0"/>
          </reference>
        </references>
      </pivotArea>
    </chartFormat>
    <chartFormat chart="4" format="4" series="1">
      <pivotArea type="data" outline="0" fieldPosition="0">
        <references count="2">
          <reference field="4294967294" count="1" selected="0">
            <x v="0"/>
          </reference>
          <reference field="1" count="1" selected="0">
            <x v="1"/>
          </reference>
        </references>
      </pivotArea>
    </chartFormat>
    <chartFormat chart="5" format="5" series="1">
      <pivotArea type="data" outline="0" fieldPosition="0">
        <references count="2">
          <reference field="4294967294" count="1" selected="0">
            <x v="0"/>
          </reference>
          <reference field="1" count="1" selected="0">
            <x v="0"/>
          </reference>
        </references>
      </pivotArea>
    </chartFormat>
    <chartFormat chart="5" format="6"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A5EB069-5182-497A-8489-9E3B2180BC53}" sourceName="[calls].[Representative]">
  <pivotTables>
    <pivotTable tabId="6" name="PivotTable2"/>
    <pivotTable tabId="6" name="monthly trend"/>
    <pivotTable tabId="6" name="week day trend"/>
    <pivotTable tabId="6" name="representative pivot"/>
    <pivotTable tabId="6" name="rep rating"/>
  </pivotTables>
  <data>
    <olap pivotCacheId="1911640659">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CF72C4DD-FA6A-4326-9EA7-18E9468E74F4}" cache="Slicer_Representative" caption="Representative" level="1" style="SlicerStyleDark2 2" rowHeight="222250"/>
</slicers>
</file>

<file path=xl/theme/theme1.xml><?xml version="1.0" encoding="utf-8"?>
<a:theme xmlns:a="http://schemas.openxmlformats.org/drawingml/2006/main" name="Office 2013 - 2022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Custom 1">
      <a:majorFont>
        <a:latin typeface="Times New Roman"/>
        <a:ea typeface=""/>
        <a:cs typeface=""/>
      </a:majorFont>
      <a:minorFont>
        <a:latin typeface="Times New Roman"/>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46960-97BC-4534-B76E-35CE130ADA79}">
  <dimension ref="C1:T35"/>
  <sheetViews>
    <sheetView tabSelected="1" zoomScale="85" zoomScaleNormal="103" workbookViewId="0">
      <selection activeCell="M30" sqref="M30"/>
    </sheetView>
  </sheetViews>
  <sheetFormatPr defaultRowHeight="13.8" x14ac:dyDescent="0.25"/>
  <cols>
    <col min="1" max="1" width="1.88671875" style="1" customWidth="1"/>
    <col min="2" max="2" width="2.88671875" style="1" customWidth="1"/>
    <col min="3" max="3" width="12.21875" style="1" customWidth="1"/>
    <col min="4" max="13" width="8.88671875" style="1"/>
    <col min="14" max="14" width="10" style="1" customWidth="1"/>
    <col min="15" max="16384" width="8.88671875" style="1"/>
  </cols>
  <sheetData>
    <row r="1" spans="3:20" ht="37.799999999999997" customHeight="1" x14ac:dyDescent="0.5">
      <c r="C1" s="33" t="s">
        <v>63</v>
      </c>
    </row>
    <row r="2" spans="3:20" ht="1.8" hidden="1" customHeight="1" x14ac:dyDescent="0.25"/>
    <row r="3" spans="3:20" hidden="1" x14ac:dyDescent="0.25"/>
    <row r="8" spans="3:20" ht="18" x14ac:dyDescent="0.35">
      <c r="I8" s="6"/>
    </row>
    <row r="12" spans="3:20" ht="14.4" x14ac:dyDescent="0.3">
      <c r="L12" s="7"/>
    </row>
    <row r="13" spans="3:20" ht="15.6" x14ac:dyDescent="0.3">
      <c r="D13" s="5"/>
    </row>
    <row r="15" spans="3:20" x14ac:dyDescent="0.25">
      <c r="N15" s="23"/>
      <c r="O15" s="30" t="str">
        <f>pivot_data!B87</f>
        <v>R01</v>
      </c>
      <c r="P15" s="30" t="str">
        <f>pivot_data!C87</f>
        <v>R02</v>
      </c>
      <c r="Q15" s="30" t="str">
        <f>pivot_data!D87</f>
        <v>R03</v>
      </c>
      <c r="R15" s="30" t="str">
        <f>pivot_data!E87</f>
        <v>R04</v>
      </c>
      <c r="S15" s="30" t="str">
        <f>pivot_data!F87</f>
        <v>R05</v>
      </c>
      <c r="T15" s="31" t="s">
        <v>62</v>
      </c>
    </row>
    <row r="16" spans="3:20" x14ac:dyDescent="0.25">
      <c r="N16" s="32" t="str" cm="1">
        <f t="array" ref="N16:T33">IF(pivot_data!A88:G105="","",pivot_data!A88:G105)</f>
        <v>Cincinnati</v>
      </c>
      <c r="O16" s="24" t="str">
        <v/>
      </c>
      <c r="P16" s="24" t="str">
        <v/>
      </c>
      <c r="Q16" s="24" t="str">
        <v/>
      </c>
      <c r="R16" s="24" t="str">
        <v/>
      </c>
      <c r="S16" s="24" t="str">
        <v/>
      </c>
      <c r="T16" s="25" t="str">
        <v/>
      </c>
    </row>
    <row r="17" spans="13:20" x14ac:dyDescent="0.25">
      <c r="M17" s="22"/>
      <c r="N17" s="26" t="str">
        <v>C0003</v>
      </c>
      <c r="O17" s="24">
        <v>891</v>
      </c>
      <c r="P17" s="24">
        <v>1332</v>
      </c>
      <c r="Q17" s="24">
        <v>1282</v>
      </c>
      <c r="R17" s="24">
        <v>739</v>
      </c>
      <c r="S17" s="24">
        <v>560</v>
      </c>
      <c r="T17" s="25">
        <v>4804</v>
      </c>
    </row>
    <row r="18" spans="13:20" x14ac:dyDescent="0.25">
      <c r="M18" s="22"/>
      <c r="N18" s="26" t="str">
        <v>C0004</v>
      </c>
      <c r="O18" s="24">
        <v>1991</v>
      </c>
      <c r="P18" s="24">
        <v>1886</v>
      </c>
      <c r="Q18" s="24">
        <v>1206</v>
      </c>
      <c r="R18" s="24">
        <v>884</v>
      </c>
      <c r="S18" s="24">
        <v>1722</v>
      </c>
      <c r="T18" s="25">
        <v>7689</v>
      </c>
    </row>
    <row r="19" spans="13:20" x14ac:dyDescent="0.25">
      <c r="M19" s="22"/>
      <c r="N19" s="26" t="str">
        <v>C0011</v>
      </c>
      <c r="O19" s="24">
        <v>1163</v>
      </c>
      <c r="P19" s="24">
        <v>1180</v>
      </c>
      <c r="Q19" s="24">
        <v>1616</v>
      </c>
      <c r="R19" s="24">
        <v>1043</v>
      </c>
      <c r="S19" s="24">
        <v>1747</v>
      </c>
      <c r="T19" s="25">
        <v>6749</v>
      </c>
    </row>
    <row r="20" spans="13:20" x14ac:dyDescent="0.25">
      <c r="M20" s="22"/>
      <c r="N20" s="26" t="str">
        <v>C0012</v>
      </c>
      <c r="O20" s="24">
        <v>1438</v>
      </c>
      <c r="P20" s="24">
        <v>1616</v>
      </c>
      <c r="Q20" s="24">
        <v>866</v>
      </c>
      <c r="R20" s="24">
        <v>829</v>
      </c>
      <c r="S20" s="24">
        <v>2070</v>
      </c>
      <c r="T20" s="25">
        <v>6819</v>
      </c>
    </row>
    <row r="21" spans="13:20" x14ac:dyDescent="0.25">
      <c r="M21" s="22"/>
      <c r="N21" s="32" t="str">
        <v>Cleveland</v>
      </c>
      <c r="O21" s="24" t="str">
        <v/>
      </c>
      <c r="P21" s="24" t="str">
        <v/>
      </c>
      <c r="Q21" s="24" t="str">
        <v/>
      </c>
      <c r="R21" s="24" t="str">
        <v/>
      </c>
      <c r="S21" s="24" t="str">
        <v/>
      </c>
      <c r="T21" s="25" t="str">
        <v/>
      </c>
    </row>
    <row r="22" spans="13:20" x14ac:dyDescent="0.25">
      <c r="M22" s="22"/>
      <c r="N22" s="26" t="str">
        <v>C0002</v>
      </c>
      <c r="O22" s="24">
        <v>1233</v>
      </c>
      <c r="P22" s="24">
        <v>223</v>
      </c>
      <c r="Q22" s="24">
        <v>1680</v>
      </c>
      <c r="R22" s="24">
        <v>990</v>
      </c>
      <c r="S22" s="24">
        <v>1508</v>
      </c>
      <c r="T22" s="25">
        <v>5634</v>
      </c>
    </row>
    <row r="23" spans="13:20" x14ac:dyDescent="0.25">
      <c r="M23" s="22"/>
      <c r="N23" s="26" t="str">
        <v>C0007</v>
      </c>
      <c r="O23" s="24">
        <v>1598</v>
      </c>
      <c r="P23" s="24">
        <v>1907</v>
      </c>
      <c r="Q23" s="24">
        <v>869</v>
      </c>
      <c r="R23" s="24">
        <v>1426</v>
      </c>
      <c r="S23" s="24">
        <v>1416</v>
      </c>
      <c r="T23" s="25">
        <v>7216</v>
      </c>
    </row>
    <row r="24" spans="13:20" x14ac:dyDescent="0.25">
      <c r="M24" s="22"/>
      <c r="N24" s="26" t="str">
        <v>C0008</v>
      </c>
      <c r="O24" s="24">
        <v>900</v>
      </c>
      <c r="P24" s="24">
        <v>1016</v>
      </c>
      <c r="Q24" s="24">
        <v>960</v>
      </c>
      <c r="R24" s="24">
        <v>940</v>
      </c>
      <c r="S24" s="24">
        <v>1193</v>
      </c>
      <c r="T24" s="25">
        <v>5009</v>
      </c>
    </row>
    <row r="25" spans="13:20" x14ac:dyDescent="0.25">
      <c r="M25" s="22"/>
      <c r="N25" s="26" t="str">
        <v>C0010</v>
      </c>
      <c r="O25" s="24">
        <v>900</v>
      </c>
      <c r="P25" s="24">
        <v>1470</v>
      </c>
      <c r="Q25" s="24">
        <v>1617</v>
      </c>
      <c r="R25" s="24">
        <v>1314</v>
      </c>
      <c r="S25" s="24">
        <v>941</v>
      </c>
      <c r="T25" s="25">
        <v>6242</v>
      </c>
    </row>
    <row r="26" spans="13:20" x14ac:dyDescent="0.25">
      <c r="M26" s="22"/>
      <c r="N26" s="26" t="str">
        <v>C0013</v>
      </c>
      <c r="O26" s="24">
        <v>1255</v>
      </c>
      <c r="P26" s="24">
        <v>516</v>
      </c>
      <c r="Q26" s="24">
        <v>1874</v>
      </c>
      <c r="R26" s="24">
        <v>1863</v>
      </c>
      <c r="S26" s="24">
        <v>1722</v>
      </c>
      <c r="T26" s="25">
        <v>7230</v>
      </c>
    </row>
    <row r="27" spans="13:20" x14ac:dyDescent="0.25">
      <c r="M27" s="22"/>
      <c r="N27" s="26" t="str">
        <v>C0015</v>
      </c>
      <c r="O27" s="24">
        <v>1138</v>
      </c>
      <c r="P27" s="24">
        <v>1898</v>
      </c>
      <c r="Q27" s="24">
        <v>1482</v>
      </c>
      <c r="R27" s="24">
        <v>846</v>
      </c>
      <c r="S27" s="24">
        <v>1154</v>
      </c>
      <c r="T27" s="25">
        <v>6518</v>
      </c>
    </row>
    <row r="28" spans="13:20" x14ac:dyDescent="0.25">
      <c r="M28" s="22"/>
      <c r="N28" s="32" t="str">
        <v>Columbus</v>
      </c>
      <c r="O28" s="24" t="str">
        <v/>
      </c>
      <c r="P28" s="24" t="str">
        <v/>
      </c>
      <c r="Q28" s="24" t="str">
        <v/>
      </c>
      <c r="R28" s="24" t="str">
        <v/>
      </c>
      <c r="S28" s="24" t="str">
        <v/>
      </c>
      <c r="T28" s="25" t="str">
        <v/>
      </c>
    </row>
    <row r="29" spans="13:20" x14ac:dyDescent="0.25">
      <c r="M29" s="22"/>
      <c r="N29" s="26" t="str">
        <v>C0001</v>
      </c>
      <c r="O29" s="24">
        <v>1655</v>
      </c>
      <c r="P29" s="24">
        <v>805</v>
      </c>
      <c r="Q29" s="24">
        <v>2263</v>
      </c>
      <c r="R29" s="24">
        <v>987</v>
      </c>
      <c r="S29" s="24">
        <v>1075</v>
      </c>
      <c r="T29" s="25">
        <v>6785</v>
      </c>
    </row>
    <row r="30" spans="13:20" x14ac:dyDescent="0.25">
      <c r="M30" s="22"/>
      <c r="N30" s="26" t="str">
        <v>C0005</v>
      </c>
      <c r="O30" s="24">
        <v>1104</v>
      </c>
      <c r="P30" s="24">
        <v>2280</v>
      </c>
      <c r="Q30" s="24">
        <v>1445</v>
      </c>
      <c r="R30" s="24">
        <v>1722</v>
      </c>
      <c r="S30" s="24">
        <v>1196</v>
      </c>
      <c r="T30" s="25">
        <v>7747</v>
      </c>
    </row>
    <row r="31" spans="13:20" x14ac:dyDescent="0.25">
      <c r="M31" s="22"/>
      <c r="N31" s="26" t="str">
        <v>C0006</v>
      </c>
      <c r="O31" s="24">
        <v>372</v>
      </c>
      <c r="P31" s="24">
        <v>1818</v>
      </c>
      <c r="Q31" s="24">
        <v>1346</v>
      </c>
      <c r="R31" s="24">
        <v>1156</v>
      </c>
      <c r="S31" s="24">
        <v>1484</v>
      </c>
      <c r="T31" s="25">
        <v>6176</v>
      </c>
    </row>
    <row r="32" spans="13:20" x14ac:dyDescent="0.25">
      <c r="M32" s="22"/>
      <c r="N32" s="26" t="str">
        <v>C0009</v>
      </c>
      <c r="O32" s="24">
        <v>1415</v>
      </c>
      <c r="P32" s="24">
        <v>1271</v>
      </c>
      <c r="Q32" s="24">
        <v>1214</v>
      </c>
      <c r="R32" s="24">
        <v>1135</v>
      </c>
      <c r="S32" s="24">
        <v>1566</v>
      </c>
      <c r="T32" s="25">
        <v>6601</v>
      </c>
    </row>
    <row r="33" spans="13:20" x14ac:dyDescent="0.25">
      <c r="M33" s="22"/>
      <c r="N33" s="27" t="str">
        <v>C0014</v>
      </c>
      <c r="O33" s="28">
        <v>1362</v>
      </c>
      <c r="P33" s="28">
        <v>1363</v>
      </c>
      <c r="Q33" s="28">
        <v>1152</v>
      </c>
      <c r="R33" s="28">
        <v>777</v>
      </c>
      <c r="S33" s="28">
        <v>750</v>
      </c>
      <c r="T33" s="29">
        <v>5404</v>
      </c>
    </row>
    <row r="34" spans="13:20" x14ac:dyDescent="0.25">
      <c r="M34" s="22"/>
    </row>
    <row r="35" spans="13:20" x14ac:dyDescent="0.25">
      <c r="M35" s="22"/>
    </row>
  </sheetData>
  <conditionalFormatting sqref="N15:T33">
    <cfRule type="dataBar" priority="5">
      <dataBar>
        <cfvo type="min"/>
        <cfvo type="max"/>
        <color rgb="FF638EC6"/>
      </dataBar>
      <extLst>
        <ext xmlns:x14="http://schemas.microsoft.com/office/spreadsheetml/2009/9/main" uri="{B025F937-C7B1-47D3-B67F-A62EFF666E3E}">
          <x14:id>{6EB28101-941A-4A63-A35A-0426D0B0B1EC}</x14:id>
        </ext>
      </extLst>
    </cfRule>
  </conditionalFormatting>
  <conditionalFormatting sqref="N16:T33">
    <cfRule type="dataBar" priority="3">
      <dataBar>
        <cfvo type="num" val="0"/>
        <cfvo type="formula" val="MAX($O$17:$T$33)*2"/>
        <color theme="1" tint="0.34998626667073579"/>
      </dataBar>
      <extLst>
        <ext xmlns:x14="http://schemas.microsoft.com/office/spreadsheetml/2009/9/main" uri="{B025F937-C7B1-47D3-B67F-A62EFF666E3E}">
          <x14:id>{28807181-83BC-4339-A119-AF5FB135748D}</x14:id>
        </ext>
      </extLst>
    </cfRule>
  </conditionalFormatting>
  <conditionalFormatting sqref="T19">
    <cfRule type="dataBar" priority="4">
      <dataBar>
        <cfvo type="min"/>
        <cfvo type="max"/>
        <color rgb="FFFF555A"/>
      </dataBar>
      <extLst>
        <ext xmlns:x14="http://schemas.microsoft.com/office/spreadsheetml/2009/9/main" uri="{B025F937-C7B1-47D3-B67F-A62EFF666E3E}">
          <x14:id>{0E0A4297-87F5-4351-8F5C-A0C2C4CBC733}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EB28101-941A-4A63-A35A-0426D0B0B1EC}">
            <x14:dataBar minLength="0" maxLength="100" border="1" negativeBarBorderColorSameAsPositive="0">
              <x14:cfvo type="autoMin"/>
              <x14:cfvo type="autoMax"/>
              <x14:borderColor rgb="FF638EC6"/>
              <x14:negativeFillColor rgb="FFFF0000"/>
              <x14:negativeBorderColor rgb="FFFF0000"/>
              <x14:axisColor rgb="FF000000"/>
            </x14:dataBar>
          </x14:cfRule>
          <xm:sqref>N15:T33</xm:sqref>
        </x14:conditionalFormatting>
        <x14:conditionalFormatting xmlns:xm="http://schemas.microsoft.com/office/excel/2006/main">
          <x14:cfRule type="dataBar" id="{28807181-83BC-4339-A119-AF5FB135748D}">
            <x14:dataBar minLength="0" maxLength="100" gradient="0">
              <x14:cfvo type="num">
                <xm:f>0</xm:f>
              </x14:cfvo>
              <x14:cfvo type="formula">
                <xm:f>MAX($O$17:$T$33)*2</xm:f>
              </x14:cfvo>
              <x14:negativeFillColor rgb="FFFF0000"/>
              <x14:axisColor rgb="FF000000"/>
            </x14:dataBar>
          </x14:cfRule>
          <xm:sqref>N16:T33</xm:sqref>
        </x14:conditionalFormatting>
        <x14:conditionalFormatting xmlns:xm="http://schemas.microsoft.com/office/excel/2006/main">
          <x14:cfRule type="expression" priority="1" id="{775513F8-9C68-42F2-AB65-B34C6F2AAD9C}">
            <xm:f>O$15=pivot_data!$G$35</xm:f>
            <x14:dxf>
              <fill>
                <patternFill>
                  <bgColor rgb="FFF0AB4E"/>
                </patternFill>
              </fill>
              <border>
                <left style="thin">
                  <color auto="1"/>
                </left>
                <right style="thin">
                  <color auto="1"/>
                </right>
                <top/>
                <bottom/>
                <vertical/>
                <horizontal/>
              </border>
            </x14:dxf>
          </x14:cfRule>
          <xm:sqref>O15:S33</xm:sqref>
        </x14:conditionalFormatting>
        <x14:conditionalFormatting xmlns:xm="http://schemas.microsoft.com/office/excel/2006/main">
          <x14:cfRule type="dataBar" id="{0E0A4297-87F5-4351-8F5C-A0C2C4CBC733}">
            <x14:dataBar minLength="0" maxLength="100" border="1" negativeBarBorderColorSameAsPositive="0">
              <x14:cfvo type="autoMin"/>
              <x14:cfvo type="autoMax"/>
              <x14:borderColor rgb="FFFF555A"/>
              <x14:negativeFillColor rgb="FFFF0000"/>
              <x14:negativeBorderColor rgb="FFFF0000"/>
              <x14:axisColor rgb="FF000000"/>
            </x14:dataBar>
          </x14:cfRule>
          <xm:sqref>T19</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7C7BD-9932-46E0-BB5E-99B38DB40085}">
  <dimension ref="A3:N105"/>
  <sheetViews>
    <sheetView topLeftCell="A29" workbookViewId="0">
      <selection activeCell="M15" sqref="M15"/>
    </sheetView>
  </sheetViews>
  <sheetFormatPr defaultRowHeight="13.8" x14ac:dyDescent="0.25"/>
  <cols>
    <col min="1" max="1" width="13.33203125" bestFit="1" customWidth="1"/>
    <col min="2" max="2" width="11.33203125" bestFit="1" customWidth="1"/>
    <col min="3" max="3" width="12.33203125" bestFit="1" customWidth="1"/>
    <col min="4" max="4" width="10.77734375" bestFit="1" customWidth="1"/>
    <col min="5" max="5" width="8.6640625" bestFit="1" customWidth="1"/>
    <col min="6" max="6" width="7.109375" bestFit="1" customWidth="1"/>
    <col min="7" max="8" width="11.6640625" bestFit="1" customWidth="1"/>
    <col min="9" max="9" width="11.33203125" bestFit="1" customWidth="1"/>
    <col min="10" max="10" width="20.33203125" bestFit="1" customWidth="1"/>
    <col min="11" max="11" width="11.33203125" bestFit="1" customWidth="1"/>
    <col min="12" max="12" width="20.33203125" bestFit="1" customWidth="1"/>
    <col min="13" max="13" width="13.33203125" bestFit="1" customWidth="1"/>
    <col min="14" max="14" width="11.33203125" bestFit="1" customWidth="1"/>
    <col min="15" max="15" width="16.5546875" bestFit="1" customWidth="1"/>
  </cols>
  <sheetData>
    <row r="3" spans="1:5" x14ac:dyDescent="0.25">
      <c r="A3" t="s">
        <v>25</v>
      </c>
      <c r="B3" t="s">
        <v>26</v>
      </c>
      <c r="C3" t="s">
        <v>27</v>
      </c>
      <c r="D3" t="s">
        <v>28</v>
      </c>
      <c r="E3" t="s">
        <v>29</v>
      </c>
    </row>
    <row r="4" spans="1:5" x14ac:dyDescent="0.25">
      <c r="A4" s="2">
        <v>1000</v>
      </c>
      <c r="B4" s="19">
        <v>96623</v>
      </c>
      <c r="C4" s="2">
        <v>89850</v>
      </c>
      <c r="D4" s="3">
        <v>3.8854000000000033</v>
      </c>
      <c r="E4" s="2">
        <v>307</v>
      </c>
    </row>
    <row r="11" spans="1:5" x14ac:dyDescent="0.25">
      <c r="A11" t="s">
        <v>25</v>
      </c>
      <c r="B11" t="s">
        <v>26</v>
      </c>
      <c r="C11" t="s">
        <v>27</v>
      </c>
      <c r="D11" t="s">
        <v>28</v>
      </c>
      <c r="E11" t="s">
        <v>29</v>
      </c>
    </row>
    <row r="12" spans="1:5" x14ac:dyDescent="0.25">
      <c r="A12" s="2">
        <v>200</v>
      </c>
      <c r="B12" s="34">
        <v>20104</v>
      </c>
      <c r="C12" s="2">
        <v>18209</v>
      </c>
      <c r="D12" s="3">
        <v>3.8824999999999998</v>
      </c>
      <c r="E12" s="2">
        <v>51</v>
      </c>
    </row>
    <row r="17" spans="1:14" x14ac:dyDescent="0.25">
      <c r="A17" s="4" t="s">
        <v>30</v>
      </c>
      <c r="B17" t="s">
        <v>25</v>
      </c>
      <c r="C17" t="s">
        <v>44</v>
      </c>
    </row>
    <row r="18" spans="1:14" x14ac:dyDescent="0.25">
      <c r="A18" s="8" t="s">
        <v>32</v>
      </c>
      <c r="B18" s="2">
        <v>21</v>
      </c>
      <c r="C18" s="2">
        <v>21</v>
      </c>
    </row>
    <row r="19" spans="1:14" x14ac:dyDescent="0.25">
      <c r="A19" s="8" t="s">
        <v>33</v>
      </c>
      <c r="B19" s="2">
        <v>18</v>
      </c>
      <c r="C19" s="2">
        <v>18</v>
      </c>
      <c r="M19" s="4" t="s">
        <v>30</v>
      </c>
      <c r="N19" t="s">
        <v>25</v>
      </c>
    </row>
    <row r="20" spans="1:14" x14ac:dyDescent="0.25">
      <c r="A20" s="8" t="s">
        <v>34</v>
      </c>
      <c r="B20" s="2">
        <v>31</v>
      </c>
      <c r="C20" s="2">
        <v>31</v>
      </c>
      <c r="M20" s="8" t="s">
        <v>45</v>
      </c>
      <c r="N20" s="2">
        <v>27</v>
      </c>
    </row>
    <row r="21" spans="1:14" x14ac:dyDescent="0.25">
      <c r="A21" s="8" t="s">
        <v>35</v>
      </c>
      <c r="B21" s="2">
        <v>20</v>
      </c>
      <c r="C21" s="2">
        <v>20</v>
      </c>
      <c r="M21" s="8" t="s">
        <v>46</v>
      </c>
      <c r="N21" s="2">
        <v>22</v>
      </c>
    </row>
    <row r="22" spans="1:14" x14ac:dyDescent="0.25">
      <c r="A22" s="8" t="s">
        <v>36</v>
      </c>
      <c r="B22" s="2">
        <v>8</v>
      </c>
      <c r="C22" s="2">
        <v>8</v>
      </c>
      <c r="M22" s="8" t="s">
        <v>47</v>
      </c>
      <c r="N22" s="2">
        <v>27</v>
      </c>
    </row>
    <row r="23" spans="1:14" x14ac:dyDescent="0.25">
      <c r="A23" s="8" t="s">
        <v>37</v>
      </c>
      <c r="B23" s="2">
        <v>12</v>
      </c>
      <c r="C23" s="2">
        <v>12</v>
      </c>
      <c r="M23" s="8" t="s">
        <v>48</v>
      </c>
      <c r="N23" s="2">
        <v>27</v>
      </c>
    </row>
    <row r="24" spans="1:14" x14ac:dyDescent="0.25">
      <c r="A24" s="8" t="s">
        <v>38</v>
      </c>
      <c r="B24" s="2">
        <v>12</v>
      </c>
      <c r="C24" s="2">
        <v>12</v>
      </c>
      <c r="M24" s="8" t="s">
        <v>49</v>
      </c>
      <c r="N24" s="2">
        <v>27</v>
      </c>
    </row>
    <row r="25" spans="1:14" x14ac:dyDescent="0.25">
      <c r="A25" s="8" t="s">
        <v>39</v>
      </c>
      <c r="B25" s="2">
        <v>7</v>
      </c>
      <c r="C25" s="2">
        <v>7</v>
      </c>
      <c r="M25" s="8" t="s">
        <v>50</v>
      </c>
      <c r="N25" s="2">
        <v>32</v>
      </c>
    </row>
    <row r="26" spans="1:14" x14ac:dyDescent="0.25">
      <c r="A26" s="8" t="s">
        <v>40</v>
      </c>
      <c r="B26" s="2">
        <v>20</v>
      </c>
      <c r="C26" s="2">
        <v>20</v>
      </c>
      <c r="M26" s="8" t="s">
        <v>51</v>
      </c>
      <c r="N26" s="2">
        <v>38</v>
      </c>
    </row>
    <row r="27" spans="1:14" x14ac:dyDescent="0.25">
      <c r="A27" s="8" t="s">
        <v>41</v>
      </c>
      <c r="B27" s="2">
        <v>24</v>
      </c>
      <c r="C27" s="2">
        <v>24</v>
      </c>
      <c r="M27" s="8" t="s">
        <v>31</v>
      </c>
      <c r="N27" s="2">
        <v>200</v>
      </c>
    </row>
    <row r="28" spans="1:14" x14ac:dyDescent="0.25">
      <c r="A28" s="8" t="s">
        <v>42</v>
      </c>
      <c r="B28" s="2">
        <v>12</v>
      </c>
      <c r="C28" s="2">
        <v>12</v>
      </c>
    </row>
    <row r="29" spans="1:14" x14ac:dyDescent="0.25">
      <c r="A29" s="8" t="s">
        <v>43</v>
      </c>
      <c r="B29" s="2">
        <v>15</v>
      </c>
      <c r="C29" s="2">
        <v>15</v>
      </c>
    </row>
    <row r="30" spans="1:14" x14ac:dyDescent="0.25">
      <c r="A30" s="8" t="s">
        <v>31</v>
      </c>
      <c r="B30" s="2">
        <v>200</v>
      </c>
      <c r="C30" s="2">
        <v>200</v>
      </c>
    </row>
    <row r="35" spans="1:10" x14ac:dyDescent="0.25">
      <c r="F35" t="s">
        <v>54</v>
      </c>
      <c r="G35" t="str">
        <f>A54</f>
        <v>R05</v>
      </c>
    </row>
    <row r="39" spans="1:10" x14ac:dyDescent="0.25">
      <c r="F39" t="s">
        <v>52</v>
      </c>
    </row>
    <row r="40" spans="1:10" x14ac:dyDescent="0.25">
      <c r="A40" s="4" t="s">
        <v>30</v>
      </c>
      <c r="B40" t="s">
        <v>25</v>
      </c>
      <c r="C40" t="s">
        <v>26</v>
      </c>
    </row>
    <row r="41" spans="1:10" x14ac:dyDescent="0.25">
      <c r="A41" s="8" t="s">
        <v>6</v>
      </c>
      <c r="B41" s="2">
        <v>189</v>
      </c>
      <c r="C41" s="19">
        <v>18415</v>
      </c>
      <c r="F41" t="s">
        <v>55</v>
      </c>
      <c r="G41" t="s">
        <v>56</v>
      </c>
      <c r="H41" s="9" t="s">
        <v>57</v>
      </c>
      <c r="I41" t="s">
        <v>58</v>
      </c>
      <c r="J41" t="s">
        <v>59</v>
      </c>
    </row>
    <row r="42" spans="1:10" x14ac:dyDescent="0.25">
      <c r="A42" s="8" t="s">
        <v>4</v>
      </c>
      <c r="B42" s="2">
        <v>218</v>
      </c>
      <c r="C42" s="19">
        <v>20581</v>
      </c>
      <c r="E42" t="s">
        <v>53</v>
      </c>
      <c r="F42" s="8" t="s">
        <v>6</v>
      </c>
      <c r="G42" s="2">
        <v>189</v>
      </c>
      <c r="H42" s="9">
        <f>C41</f>
        <v>18415</v>
      </c>
      <c r="I42" t="str">
        <f>IF(F42=$G$35,G42,"NA()")</f>
        <v>NA()</v>
      </c>
      <c r="J42" s="9" t="str">
        <f>IF(F42=$G$35,H42,"NA()")</f>
        <v>NA()</v>
      </c>
    </row>
    <row r="43" spans="1:10" x14ac:dyDescent="0.25">
      <c r="A43" s="8" t="s">
        <v>1</v>
      </c>
      <c r="B43" s="2">
        <v>207</v>
      </c>
      <c r="C43" s="19">
        <v>20872</v>
      </c>
      <c r="F43" s="8" t="s">
        <v>4</v>
      </c>
      <c r="G43" s="2">
        <v>218</v>
      </c>
      <c r="H43" s="9">
        <f t="shared" ref="H43:H46" si="0">C42</f>
        <v>20581</v>
      </c>
      <c r="I43" t="str">
        <f>IF(F43=$G$35,G43,"NA()")</f>
        <v>NA()</v>
      </c>
      <c r="J43" s="9" t="str">
        <f>IF(F43=$G$35,H43,"NA()")</f>
        <v>NA()</v>
      </c>
    </row>
    <row r="44" spans="1:10" x14ac:dyDescent="0.25">
      <c r="A44" s="8" t="s">
        <v>8</v>
      </c>
      <c r="B44" s="2">
        <v>186</v>
      </c>
      <c r="C44" s="19">
        <v>16651</v>
      </c>
      <c r="F44" s="8" t="s">
        <v>1</v>
      </c>
      <c r="G44" s="2">
        <v>207</v>
      </c>
      <c r="H44" s="9">
        <f t="shared" si="0"/>
        <v>20872</v>
      </c>
      <c r="I44" t="str">
        <f>IF(F44=$G$35,G44,"NA()")</f>
        <v>NA()</v>
      </c>
      <c r="J44" s="9" t="str">
        <f>IF(F44=$G$35,H44,"NA()")</f>
        <v>NA()</v>
      </c>
    </row>
    <row r="45" spans="1:10" x14ac:dyDescent="0.25">
      <c r="A45" s="8" t="s">
        <v>5</v>
      </c>
      <c r="B45" s="2">
        <v>200</v>
      </c>
      <c r="C45" s="19">
        <v>20104</v>
      </c>
      <c r="F45" s="8" t="s">
        <v>8</v>
      </c>
      <c r="G45" s="2">
        <v>186</v>
      </c>
      <c r="H45" s="9">
        <f t="shared" si="0"/>
        <v>16651</v>
      </c>
      <c r="I45" t="str">
        <f>IF(F45=$G$35,G45,"NA()")</f>
        <v>NA()</v>
      </c>
      <c r="J45" s="9" t="str">
        <f>IF(F45=$G$35,H45,"NA()")</f>
        <v>NA()</v>
      </c>
    </row>
    <row r="46" spans="1:10" x14ac:dyDescent="0.25">
      <c r="A46" s="8" t="s">
        <v>31</v>
      </c>
      <c r="B46" s="2">
        <v>1000</v>
      </c>
      <c r="C46" s="19">
        <v>96623</v>
      </c>
      <c r="F46" s="8" t="s">
        <v>5</v>
      </c>
      <c r="G46" s="2">
        <v>200</v>
      </c>
      <c r="H46" s="9">
        <f t="shared" si="0"/>
        <v>20104</v>
      </c>
      <c r="I46">
        <f>IF(F46=$G$35,G46,"NA()")</f>
        <v>200</v>
      </c>
      <c r="J46" s="9">
        <f>IF(F46=$G$35,H46,"NA()")</f>
        <v>20104</v>
      </c>
    </row>
    <row r="49" spans="1:14" x14ac:dyDescent="0.25">
      <c r="H49" s="9"/>
    </row>
    <row r="53" spans="1:14" x14ac:dyDescent="0.25">
      <c r="A53" s="4" t="s">
        <v>30</v>
      </c>
    </row>
    <row r="54" spans="1:14" x14ac:dyDescent="0.25">
      <c r="A54" s="8" t="s">
        <v>5</v>
      </c>
    </row>
    <row r="55" spans="1:14" x14ac:dyDescent="0.25">
      <c r="A55" s="8" t="s">
        <v>31</v>
      </c>
    </row>
    <row r="63" spans="1:14" x14ac:dyDescent="0.25">
      <c r="A63" s="4" t="s">
        <v>25</v>
      </c>
      <c r="B63" s="4" t="s">
        <v>60</v>
      </c>
      <c r="L63" s="10"/>
      <c r="M63" s="11"/>
      <c r="N63" s="12"/>
    </row>
    <row r="64" spans="1:14" x14ac:dyDescent="0.25">
      <c r="A64" s="4" t="s">
        <v>30</v>
      </c>
      <c r="B64" t="s">
        <v>21</v>
      </c>
      <c r="C64" t="s">
        <v>20</v>
      </c>
      <c r="D64" t="s">
        <v>31</v>
      </c>
      <c r="L64" s="13"/>
      <c r="M64" s="14"/>
      <c r="N64" s="15"/>
    </row>
    <row r="65" spans="1:14" x14ac:dyDescent="0.25">
      <c r="A65" s="8" t="s">
        <v>24</v>
      </c>
      <c r="B65" s="2">
        <v>144</v>
      </c>
      <c r="C65" s="2">
        <v>132</v>
      </c>
      <c r="D65" s="2">
        <v>276</v>
      </c>
      <c r="L65" s="13"/>
      <c r="M65" s="14"/>
      <c r="N65" s="15"/>
    </row>
    <row r="66" spans="1:14" x14ac:dyDescent="0.25">
      <c r="A66" s="8" t="s">
        <v>23</v>
      </c>
      <c r="B66" s="2">
        <v>326</v>
      </c>
      <c r="C66" s="2">
        <v>63</v>
      </c>
      <c r="D66" s="2">
        <v>389</v>
      </c>
      <c r="L66" s="13"/>
      <c r="M66" s="14"/>
      <c r="N66" s="15"/>
    </row>
    <row r="67" spans="1:14" x14ac:dyDescent="0.25">
      <c r="A67" s="8" t="s">
        <v>22</v>
      </c>
      <c r="B67" s="2">
        <v>129</v>
      </c>
      <c r="C67" s="2">
        <v>206</v>
      </c>
      <c r="D67" s="2">
        <v>335</v>
      </c>
      <c r="L67" s="13"/>
      <c r="M67" s="14"/>
      <c r="N67" s="15"/>
    </row>
    <row r="68" spans="1:14" x14ac:dyDescent="0.25">
      <c r="A68" s="8" t="s">
        <v>31</v>
      </c>
      <c r="B68" s="2">
        <v>599</v>
      </c>
      <c r="C68" s="2">
        <v>401</v>
      </c>
      <c r="D68" s="2">
        <v>1000</v>
      </c>
      <c r="L68" s="13"/>
      <c r="M68" s="14"/>
      <c r="N68" s="15"/>
    </row>
    <row r="69" spans="1:14" x14ac:dyDescent="0.25">
      <c r="L69" s="13"/>
      <c r="M69" s="14"/>
      <c r="N69" s="15"/>
    </row>
    <row r="70" spans="1:14" x14ac:dyDescent="0.25">
      <c r="L70" s="13"/>
      <c r="M70" s="14"/>
      <c r="N70" s="15"/>
    </row>
    <row r="71" spans="1:14" x14ac:dyDescent="0.25">
      <c r="L71" s="13"/>
      <c r="M71" s="14"/>
      <c r="N71" s="15"/>
    </row>
    <row r="72" spans="1:14" x14ac:dyDescent="0.25">
      <c r="L72" s="13"/>
      <c r="M72" s="14"/>
      <c r="N72" s="15"/>
    </row>
    <row r="73" spans="1:14" x14ac:dyDescent="0.25">
      <c r="A73" s="4" t="s">
        <v>30</v>
      </c>
      <c r="B73" t="s">
        <v>25</v>
      </c>
      <c r="H73" s="20" t="s">
        <v>61</v>
      </c>
      <c r="L73" s="13"/>
      <c r="M73" s="14"/>
      <c r="N73" s="15"/>
    </row>
    <row r="74" spans="1:14" x14ac:dyDescent="0.25">
      <c r="A74" s="8">
        <v>0</v>
      </c>
      <c r="B74" s="2"/>
      <c r="H74" s="8">
        <v>0</v>
      </c>
      <c r="I74" s="2"/>
      <c r="L74" s="13"/>
      <c r="M74" s="14"/>
      <c r="N74" s="15"/>
    </row>
    <row r="75" spans="1:14" x14ac:dyDescent="0.25">
      <c r="A75" s="8">
        <v>1</v>
      </c>
      <c r="B75" s="2"/>
      <c r="H75" s="8">
        <v>1</v>
      </c>
      <c r="I75" s="2"/>
      <c r="L75" s="13"/>
      <c r="M75" s="14"/>
      <c r="N75" s="15"/>
    </row>
    <row r="76" spans="1:14" x14ac:dyDescent="0.25">
      <c r="A76" s="8">
        <v>2</v>
      </c>
      <c r="B76" s="2">
        <v>10</v>
      </c>
      <c r="H76" s="8">
        <v>2</v>
      </c>
      <c r="I76" s="2"/>
      <c r="L76" s="13"/>
      <c r="M76" s="14"/>
      <c r="N76" s="15"/>
    </row>
    <row r="77" spans="1:14" x14ac:dyDescent="0.25">
      <c r="A77" s="8">
        <v>3</v>
      </c>
      <c r="B77" s="2">
        <v>44</v>
      </c>
      <c r="H77" s="8">
        <v>3</v>
      </c>
      <c r="I77" s="2"/>
      <c r="L77" s="13"/>
      <c r="M77" s="14"/>
      <c r="N77" s="15"/>
    </row>
    <row r="78" spans="1:14" x14ac:dyDescent="0.25">
      <c r="A78" s="8">
        <v>4</v>
      </c>
      <c r="B78" s="2">
        <v>95</v>
      </c>
      <c r="H78" s="8">
        <v>4</v>
      </c>
      <c r="I78" s="2"/>
      <c r="L78" s="13"/>
      <c r="M78" s="14"/>
      <c r="N78" s="15"/>
    </row>
    <row r="79" spans="1:14" x14ac:dyDescent="0.25">
      <c r="A79" s="8">
        <v>5</v>
      </c>
      <c r="B79" s="2">
        <v>51</v>
      </c>
      <c r="H79" s="8">
        <v>5</v>
      </c>
      <c r="I79" s="2"/>
      <c r="L79" s="13"/>
      <c r="M79" s="14"/>
      <c r="N79" s="15"/>
    </row>
    <row r="80" spans="1:14" x14ac:dyDescent="0.25">
      <c r="A80" s="8" t="s">
        <v>31</v>
      </c>
      <c r="B80" s="2">
        <v>200</v>
      </c>
      <c r="L80" s="16"/>
      <c r="M80" s="17"/>
      <c r="N80" s="18"/>
    </row>
    <row r="86" spans="1:7" x14ac:dyDescent="0.25">
      <c r="A86" s="4" t="s">
        <v>26</v>
      </c>
      <c r="B86" s="4" t="s">
        <v>60</v>
      </c>
    </row>
    <row r="87" spans="1:7" x14ac:dyDescent="0.25">
      <c r="A87" s="4" t="s">
        <v>30</v>
      </c>
      <c r="B87" t="s">
        <v>6</v>
      </c>
      <c r="C87" t="s">
        <v>4</v>
      </c>
      <c r="D87" t="s">
        <v>1</v>
      </c>
      <c r="E87" t="s">
        <v>8</v>
      </c>
      <c r="F87" t="s">
        <v>5</v>
      </c>
      <c r="G87" t="s">
        <v>31</v>
      </c>
    </row>
    <row r="88" spans="1:7" x14ac:dyDescent="0.25">
      <c r="A88" s="8" t="s">
        <v>24</v>
      </c>
    </row>
    <row r="89" spans="1:7" x14ac:dyDescent="0.25">
      <c r="A89" s="21" t="s">
        <v>15</v>
      </c>
      <c r="B89" s="19">
        <v>891</v>
      </c>
      <c r="C89" s="19">
        <v>1332</v>
      </c>
      <c r="D89" s="19">
        <v>1282</v>
      </c>
      <c r="E89" s="19">
        <v>739</v>
      </c>
      <c r="F89" s="19">
        <v>560</v>
      </c>
      <c r="G89" s="19">
        <v>4804</v>
      </c>
    </row>
    <row r="90" spans="1:7" x14ac:dyDescent="0.25">
      <c r="A90" s="21" t="s">
        <v>7</v>
      </c>
      <c r="B90" s="19">
        <v>1991</v>
      </c>
      <c r="C90" s="19">
        <v>1886</v>
      </c>
      <c r="D90" s="19">
        <v>1206</v>
      </c>
      <c r="E90" s="19">
        <v>884</v>
      </c>
      <c r="F90" s="19">
        <v>1722</v>
      </c>
      <c r="G90" s="19">
        <v>7689</v>
      </c>
    </row>
    <row r="91" spans="1:7" x14ac:dyDescent="0.25">
      <c r="A91" s="21" t="s">
        <v>3</v>
      </c>
      <c r="B91" s="19">
        <v>1163</v>
      </c>
      <c r="C91" s="19">
        <v>1180</v>
      </c>
      <c r="D91" s="19">
        <v>1616</v>
      </c>
      <c r="E91" s="19">
        <v>1043</v>
      </c>
      <c r="F91" s="19">
        <v>1747</v>
      </c>
      <c r="G91" s="19">
        <v>6749</v>
      </c>
    </row>
    <row r="92" spans="1:7" x14ac:dyDescent="0.25">
      <c r="A92" s="21" t="s">
        <v>11</v>
      </c>
      <c r="B92" s="19">
        <v>1438</v>
      </c>
      <c r="C92" s="19">
        <v>1616</v>
      </c>
      <c r="D92" s="19">
        <v>866</v>
      </c>
      <c r="E92" s="19">
        <v>829</v>
      </c>
      <c r="F92" s="19">
        <v>2070</v>
      </c>
      <c r="G92" s="19">
        <v>6819</v>
      </c>
    </row>
    <row r="93" spans="1:7" x14ac:dyDescent="0.25">
      <c r="A93" s="8" t="s">
        <v>23</v>
      </c>
    </row>
    <row r="94" spans="1:7" x14ac:dyDescent="0.25">
      <c r="A94" s="21" t="s">
        <v>19</v>
      </c>
      <c r="B94" s="19">
        <v>1233</v>
      </c>
      <c r="C94" s="19">
        <v>223</v>
      </c>
      <c r="D94" s="19">
        <v>1680</v>
      </c>
      <c r="E94" s="19">
        <v>990</v>
      </c>
      <c r="F94" s="19">
        <v>1508</v>
      </c>
      <c r="G94" s="19">
        <v>5634</v>
      </c>
    </row>
    <row r="95" spans="1:7" x14ac:dyDescent="0.25">
      <c r="A95" s="21" t="s">
        <v>10</v>
      </c>
      <c r="B95" s="19">
        <v>1598</v>
      </c>
      <c r="C95" s="19">
        <v>1907</v>
      </c>
      <c r="D95" s="19">
        <v>869</v>
      </c>
      <c r="E95" s="19">
        <v>1426</v>
      </c>
      <c r="F95" s="19">
        <v>1416</v>
      </c>
      <c r="G95" s="19">
        <v>7216</v>
      </c>
    </row>
    <row r="96" spans="1:7" x14ac:dyDescent="0.25">
      <c r="A96" s="21" t="s">
        <v>0</v>
      </c>
      <c r="B96" s="19">
        <v>900</v>
      </c>
      <c r="C96" s="19">
        <v>1016</v>
      </c>
      <c r="D96" s="19">
        <v>960</v>
      </c>
      <c r="E96" s="19">
        <v>940</v>
      </c>
      <c r="F96" s="19">
        <v>1193</v>
      </c>
      <c r="G96" s="19">
        <v>5009</v>
      </c>
    </row>
    <row r="97" spans="1:7" x14ac:dyDescent="0.25">
      <c r="A97" s="21" t="s">
        <v>13</v>
      </c>
      <c r="B97" s="19">
        <v>900</v>
      </c>
      <c r="C97" s="19">
        <v>1470</v>
      </c>
      <c r="D97" s="19">
        <v>1617</v>
      </c>
      <c r="E97" s="19">
        <v>1314</v>
      </c>
      <c r="F97" s="19">
        <v>941</v>
      </c>
      <c r="G97" s="19">
        <v>6242</v>
      </c>
    </row>
    <row r="98" spans="1:7" x14ac:dyDescent="0.25">
      <c r="A98" s="21" t="s">
        <v>9</v>
      </c>
      <c r="B98" s="19">
        <v>1255</v>
      </c>
      <c r="C98" s="19">
        <v>516</v>
      </c>
      <c r="D98" s="19">
        <v>1874</v>
      </c>
      <c r="E98" s="19">
        <v>1863</v>
      </c>
      <c r="F98" s="19">
        <v>1722</v>
      </c>
      <c r="G98" s="19">
        <v>7230</v>
      </c>
    </row>
    <row r="99" spans="1:7" x14ac:dyDescent="0.25">
      <c r="A99" s="21" t="s">
        <v>14</v>
      </c>
      <c r="B99" s="19">
        <v>1138</v>
      </c>
      <c r="C99" s="19">
        <v>1898</v>
      </c>
      <c r="D99" s="19">
        <v>1482</v>
      </c>
      <c r="E99" s="19">
        <v>846</v>
      </c>
      <c r="F99" s="19">
        <v>1154</v>
      </c>
      <c r="G99" s="19">
        <v>6518</v>
      </c>
    </row>
    <row r="100" spans="1:7" x14ac:dyDescent="0.25">
      <c r="A100" s="8" t="s">
        <v>22</v>
      </c>
    </row>
    <row r="101" spans="1:7" x14ac:dyDescent="0.25">
      <c r="A101" s="21" t="s">
        <v>12</v>
      </c>
      <c r="B101" s="19">
        <v>1655</v>
      </c>
      <c r="C101" s="19">
        <v>805</v>
      </c>
      <c r="D101" s="19">
        <v>2263</v>
      </c>
      <c r="E101" s="19">
        <v>987</v>
      </c>
      <c r="F101" s="19">
        <v>1075</v>
      </c>
      <c r="G101" s="19">
        <v>6785</v>
      </c>
    </row>
    <row r="102" spans="1:7" x14ac:dyDescent="0.25">
      <c r="A102" s="21" t="s">
        <v>18</v>
      </c>
      <c r="B102" s="19">
        <v>1104</v>
      </c>
      <c r="C102" s="19">
        <v>2280</v>
      </c>
      <c r="D102" s="19">
        <v>1445</v>
      </c>
      <c r="E102" s="19">
        <v>1722</v>
      </c>
      <c r="F102" s="19">
        <v>1196</v>
      </c>
      <c r="G102" s="19">
        <v>7747</v>
      </c>
    </row>
    <row r="103" spans="1:7" x14ac:dyDescent="0.25">
      <c r="A103" s="21" t="s">
        <v>2</v>
      </c>
      <c r="B103" s="19">
        <v>372</v>
      </c>
      <c r="C103" s="19">
        <v>1818</v>
      </c>
      <c r="D103" s="19">
        <v>1346</v>
      </c>
      <c r="E103" s="19">
        <v>1156</v>
      </c>
      <c r="F103" s="19">
        <v>1484</v>
      </c>
      <c r="G103" s="19">
        <v>6176</v>
      </c>
    </row>
    <row r="104" spans="1:7" x14ac:dyDescent="0.25">
      <c r="A104" s="21" t="s">
        <v>17</v>
      </c>
      <c r="B104" s="19">
        <v>1415</v>
      </c>
      <c r="C104" s="19">
        <v>1271</v>
      </c>
      <c r="D104" s="19">
        <v>1214</v>
      </c>
      <c r="E104" s="19">
        <v>1135</v>
      </c>
      <c r="F104" s="19">
        <v>1566</v>
      </c>
      <c r="G104" s="19">
        <v>6601</v>
      </c>
    </row>
    <row r="105" spans="1:7" x14ac:dyDescent="0.25">
      <c r="A105" s="21" t="s">
        <v>16</v>
      </c>
      <c r="B105" s="19">
        <v>1362</v>
      </c>
      <c r="C105" s="19">
        <v>1363</v>
      </c>
      <c r="D105" s="19">
        <v>1152</v>
      </c>
      <c r="E105" s="19">
        <v>777</v>
      </c>
      <c r="F105" s="19">
        <v>750</v>
      </c>
      <c r="G105" s="19">
        <v>5404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dahsboard</vt:lpstr>
      <vt:lpstr>pivot_data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Anany Dixit</cp:lastModifiedBy>
  <dcterms:created xsi:type="dcterms:W3CDTF">2021-03-14T20:21:32Z</dcterms:created>
  <dcterms:modified xsi:type="dcterms:W3CDTF">2026-04-08T08:09:00Z</dcterms:modified>
</cp:coreProperties>
</file>